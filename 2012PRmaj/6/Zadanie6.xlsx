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2PRmaj\6\"/>
    </mc:Choice>
  </mc:AlternateContent>
  <xr:revisionPtr revIDLastSave="0" documentId="13_ncr:1_{4D2FFDE8-6413-4F5E-ADE5-6983580D05C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" sheetId="5" r:id="rId1"/>
    <sheet name="b" sheetId="6" r:id="rId2"/>
    <sheet name="c" sheetId="7" r:id="rId3"/>
    <sheet name="e" sheetId="9" r:id="rId4"/>
    <sheet name="d" sheetId="8" r:id="rId5"/>
    <sheet name="dane" sheetId="1" r:id="rId6"/>
  </sheets>
  <definedNames>
    <definedName name="ExternalData_1" localSheetId="0" hidden="1">a!$F$1:$J$338</definedName>
    <definedName name="ExternalData_1" localSheetId="1" hidden="1">b!$F$1:$J$338</definedName>
    <definedName name="ExternalData_1" localSheetId="2" hidden="1">'c'!$F$1:$J$338</definedName>
    <definedName name="ExternalData_1" localSheetId="4" hidden="1">d!$F$1:$J$338</definedName>
    <definedName name="ExternalData_1" localSheetId="5" hidden="1">dane!$F$1:$J$338</definedName>
    <definedName name="ExternalData_1" localSheetId="3" hidden="1">e!$F$1:$J$338</definedName>
    <definedName name="ExternalData_2" localSheetId="0" hidden="1">a!$L$1:$M$61</definedName>
    <definedName name="ExternalData_2" localSheetId="1" hidden="1">b!$N$1:$O$61</definedName>
    <definedName name="ExternalData_2" localSheetId="2" hidden="1">'c'!$N$1:$O$61</definedName>
    <definedName name="ExternalData_2" localSheetId="4" hidden="1">d!$N$1:$O$61</definedName>
    <definedName name="ExternalData_2" localSheetId="5" hidden="1">dane!$L$1:$M$61</definedName>
    <definedName name="ExternalData_2" localSheetId="3" hidden="1">e!$Q$1:$R$61</definedName>
  </definedNames>
  <calcPr calcId="191029"/>
  <pivotCaches>
    <pivotCache cacheId="6" r:id="rId7"/>
    <pivotCache cacheId="20" r:id="rId8"/>
    <pivotCache cacheId="35" r:id="rId9"/>
    <pivotCache cacheId="40" r:id="rId10"/>
    <pivotCache cacheId="4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9" l="1"/>
  <c r="V11" i="9"/>
  <c r="V10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L13" i="9"/>
  <c r="L25" i="9"/>
  <c r="L37" i="9"/>
  <c r="L49" i="9"/>
  <c r="L61" i="9"/>
  <c r="L73" i="9"/>
  <c r="L85" i="9"/>
  <c r="L97" i="9"/>
  <c r="L109" i="9"/>
  <c r="L121" i="9"/>
  <c r="L133" i="9"/>
  <c r="L145" i="9"/>
  <c r="L157" i="9"/>
  <c r="L169" i="9"/>
  <c r="L181" i="9"/>
  <c r="L193" i="9"/>
  <c r="L205" i="9"/>
  <c r="L217" i="9"/>
  <c r="L229" i="9"/>
  <c r="L241" i="9"/>
  <c r="L253" i="9"/>
  <c r="L265" i="9"/>
  <c r="L277" i="9"/>
  <c r="L289" i="9"/>
  <c r="L301" i="9"/>
  <c r="L313" i="9"/>
  <c r="L325" i="9"/>
  <c r="L333" i="9"/>
  <c r="L337" i="9"/>
  <c r="K338" i="9"/>
  <c r="L338" i="9" s="1"/>
  <c r="K337" i="9"/>
  <c r="K336" i="9"/>
  <c r="L336" i="9" s="1"/>
  <c r="K335" i="9"/>
  <c r="L335" i="9" s="1"/>
  <c r="K334" i="9"/>
  <c r="L334" i="9" s="1"/>
  <c r="K333" i="9"/>
  <c r="K332" i="9"/>
  <c r="L332" i="9" s="1"/>
  <c r="K331" i="9"/>
  <c r="L331" i="9" s="1"/>
  <c r="K330" i="9"/>
  <c r="L330" i="9" s="1"/>
  <c r="K329" i="9"/>
  <c r="L329" i="9" s="1"/>
  <c r="K328" i="9"/>
  <c r="L328" i="9" s="1"/>
  <c r="K327" i="9"/>
  <c r="L327" i="9" s="1"/>
  <c r="K326" i="9"/>
  <c r="L326" i="9" s="1"/>
  <c r="K325" i="9"/>
  <c r="K324" i="9"/>
  <c r="L324" i="9" s="1"/>
  <c r="K323" i="9"/>
  <c r="L323" i="9" s="1"/>
  <c r="K322" i="9"/>
  <c r="L322" i="9" s="1"/>
  <c r="K321" i="9"/>
  <c r="L321" i="9" s="1"/>
  <c r="K320" i="9"/>
  <c r="L320" i="9" s="1"/>
  <c r="K319" i="9"/>
  <c r="L319" i="9" s="1"/>
  <c r="K318" i="9"/>
  <c r="L318" i="9" s="1"/>
  <c r="K317" i="9"/>
  <c r="L317" i="9" s="1"/>
  <c r="K316" i="9"/>
  <c r="L316" i="9" s="1"/>
  <c r="K315" i="9"/>
  <c r="L315" i="9" s="1"/>
  <c r="K314" i="9"/>
  <c r="L314" i="9" s="1"/>
  <c r="K313" i="9"/>
  <c r="K312" i="9"/>
  <c r="L312" i="9" s="1"/>
  <c r="K311" i="9"/>
  <c r="L311" i="9" s="1"/>
  <c r="K310" i="9"/>
  <c r="L310" i="9" s="1"/>
  <c r="K309" i="9"/>
  <c r="L309" i="9" s="1"/>
  <c r="K308" i="9"/>
  <c r="L308" i="9" s="1"/>
  <c r="K307" i="9"/>
  <c r="L307" i="9" s="1"/>
  <c r="K306" i="9"/>
  <c r="L306" i="9" s="1"/>
  <c r="K305" i="9"/>
  <c r="L305" i="9" s="1"/>
  <c r="K304" i="9"/>
  <c r="L304" i="9" s="1"/>
  <c r="K303" i="9"/>
  <c r="L303" i="9" s="1"/>
  <c r="K302" i="9"/>
  <c r="L302" i="9" s="1"/>
  <c r="K301" i="9"/>
  <c r="K300" i="9"/>
  <c r="L300" i="9" s="1"/>
  <c r="K299" i="9"/>
  <c r="L299" i="9" s="1"/>
  <c r="K298" i="9"/>
  <c r="L298" i="9" s="1"/>
  <c r="K297" i="9"/>
  <c r="L297" i="9" s="1"/>
  <c r="K296" i="9"/>
  <c r="L296" i="9" s="1"/>
  <c r="K295" i="9"/>
  <c r="L295" i="9" s="1"/>
  <c r="K294" i="9"/>
  <c r="L294" i="9" s="1"/>
  <c r="K293" i="9"/>
  <c r="L293" i="9" s="1"/>
  <c r="K292" i="9"/>
  <c r="L292" i="9" s="1"/>
  <c r="K291" i="9"/>
  <c r="L291" i="9" s="1"/>
  <c r="K290" i="9"/>
  <c r="L290" i="9" s="1"/>
  <c r="K289" i="9"/>
  <c r="K288" i="9"/>
  <c r="L288" i="9" s="1"/>
  <c r="K287" i="9"/>
  <c r="L287" i="9" s="1"/>
  <c r="K286" i="9"/>
  <c r="L286" i="9" s="1"/>
  <c r="K285" i="9"/>
  <c r="L285" i="9" s="1"/>
  <c r="K284" i="9"/>
  <c r="L284" i="9" s="1"/>
  <c r="K283" i="9"/>
  <c r="L283" i="9" s="1"/>
  <c r="K282" i="9"/>
  <c r="L282" i="9" s="1"/>
  <c r="K281" i="9"/>
  <c r="L281" i="9" s="1"/>
  <c r="K280" i="9"/>
  <c r="L280" i="9" s="1"/>
  <c r="K279" i="9"/>
  <c r="L279" i="9" s="1"/>
  <c r="K278" i="9"/>
  <c r="L278" i="9" s="1"/>
  <c r="K277" i="9"/>
  <c r="K276" i="9"/>
  <c r="L276" i="9" s="1"/>
  <c r="K275" i="9"/>
  <c r="L275" i="9" s="1"/>
  <c r="K274" i="9"/>
  <c r="L274" i="9" s="1"/>
  <c r="K273" i="9"/>
  <c r="L273" i="9" s="1"/>
  <c r="K272" i="9"/>
  <c r="L272" i="9" s="1"/>
  <c r="K271" i="9"/>
  <c r="L271" i="9" s="1"/>
  <c r="K270" i="9"/>
  <c r="L270" i="9" s="1"/>
  <c r="K269" i="9"/>
  <c r="L269" i="9" s="1"/>
  <c r="K268" i="9"/>
  <c r="L268" i="9" s="1"/>
  <c r="K267" i="9"/>
  <c r="L267" i="9" s="1"/>
  <c r="K266" i="9"/>
  <c r="L266" i="9" s="1"/>
  <c r="K265" i="9"/>
  <c r="K264" i="9"/>
  <c r="L264" i="9" s="1"/>
  <c r="K263" i="9"/>
  <c r="L263" i="9" s="1"/>
  <c r="K262" i="9"/>
  <c r="L262" i="9" s="1"/>
  <c r="K261" i="9"/>
  <c r="L261" i="9" s="1"/>
  <c r="K260" i="9"/>
  <c r="L260" i="9" s="1"/>
  <c r="K259" i="9"/>
  <c r="L259" i="9" s="1"/>
  <c r="K258" i="9"/>
  <c r="L258" i="9" s="1"/>
  <c r="K257" i="9"/>
  <c r="L257" i="9" s="1"/>
  <c r="K256" i="9"/>
  <c r="L256" i="9" s="1"/>
  <c r="K255" i="9"/>
  <c r="L255" i="9" s="1"/>
  <c r="K254" i="9"/>
  <c r="L254" i="9" s="1"/>
  <c r="K253" i="9"/>
  <c r="K252" i="9"/>
  <c r="L252" i="9" s="1"/>
  <c r="K251" i="9"/>
  <c r="L251" i="9" s="1"/>
  <c r="K250" i="9"/>
  <c r="L250" i="9" s="1"/>
  <c r="K249" i="9"/>
  <c r="L249" i="9" s="1"/>
  <c r="K248" i="9"/>
  <c r="L248" i="9" s="1"/>
  <c r="K247" i="9"/>
  <c r="L247" i="9" s="1"/>
  <c r="K246" i="9"/>
  <c r="L246" i="9" s="1"/>
  <c r="K245" i="9"/>
  <c r="L245" i="9" s="1"/>
  <c r="K244" i="9"/>
  <c r="L244" i="9" s="1"/>
  <c r="K243" i="9"/>
  <c r="L243" i="9" s="1"/>
  <c r="K242" i="9"/>
  <c r="L242" i="9" s="1"/>
  <c r="K241" i="9"/>
  <c r="K240" i="9"/>
  <c r="L240" i="9" s="1"/>
  <c r="K239" i="9"/>
  <c r="L239" i="9" s="1"/>
  <c r="K238" i="9"/>
  <c r="L238" i="9" s="1"/>
  <c r="K237" i="9"/>
  <c r="L237" i="9" s="1"/>
  <c r="K236" i="9"/>
  <c r="L236" i="9" s="1"/>
  <c r="K235" i="9"/>
  <c r="L235" i="9" s="1"/>
  <c r="K234" i="9"/>
  <c r="L234" i="9" s="1"/>
  <c r="K233" i="9"/>
  <c r="L233" i="9" s="1"/>
  <c r="K232" i="9"/>
  <c r="L232" i="9" s="1"/>
  <c r="K231" i="9"/>
  <c r="L231" i="9" s="1"/>
  <c r="K230" i="9"/>
  <c r="L230" i="9" s="1"/>
  <c r="K229" i="9"/>
  <c r="K228" i="9"/>
  <c r="L228" i="9" s="1"/>
  <c r="K227" i="9"/>
  <c r="L227" i="9" s="1"/>
  <c r="K226" i="9"/>
  <c r="L226" i="9" s="1"/>
  <c r="K225" i="9"/>
  <c r="L225" i="9" s="1"/>
  <c r="K224" i="9"/>
  <c r="L224" i="9" s="1"/>
  <c r="K223" i="9"/>
  <c r="L223" i="9" s="1"/>
  <c r="K222" i="9"/>
  <c r="L222" i="9" s="1"/>
  <c r="K221" i="9"/>
  <c r="L221" i="9" s="1"/>
  <c r="K220" i="9"/>
  <c r="L220" i="9" s="1"/>
  <c r="K219" i="9"/>
  <c r="L219" i="9" s="1"/>
  <c r="K218" i="9"/>
  <c r="L218" i="9" s="1"/>
  <c r="K217" i="9"/>
  <c r="K216" i="9"/>
  <c r="L216" i="9" s="1"/>
  <c r="K215" i="9"/>
  <c r="L215" i="9" s="1"/>
  <c r="K214" i="9"/>
  <c r="L214" i="9" s="1"/>
  <c r="K213" i="9"/>
  <c r="L213" i="9" s="1"/>
  <c r="K212" i="9"/>
  <c r="L212" i="9" s="1"/>
  <c r="K211" i="9"/>
  <c r="L211" i="9" s="1"/>
  <c r="K210" i="9"/>
  <c r="L210" i="9" s="1"/>
  <c r="K209" i="9"/>
  <c r="L209" i="9" s="1"/>
  <c r="K208" i="9"/>
  <c r="L208" i="9" s="1"/>
  <c r="K207" i="9"/>
  <c r="L207" i="9" s="1"/>
  <c r="K206" i="9"/>
  <c r="L206" i="9" s="1"/>
  <c r="K205" i="9"/>
  <c r="K204" i="9"/>
  <c r="L204" i="9" s="1"/>
  <c r="K203" i="9"/>
  <c r="L203" i="9" s="1"/>
  <c r="K202" i="9"/>
  <c r="L202" i="9" s="1"/>
  <c r="K201" i="9"/>
  <c r="L201" i="9" s="1"/>
  <c r="K200" i="9"/>
  <c r="L200" i="9" s="1"/>
  <c r="K199" i="9"/>
  <c r="L199" i="9" s="1"/>
  <c r="K198" i="9"/>
  <c r="L198" i="9" s="1"/>
  <c r="K197" i="9"/>
  <c r="L197" i="9" s="1"/>
  <c r="K196" i="9"/>
  <c r="L196" i="9" s="1"/>
  <c r="K195" i="9"/>
  <c r="L195" i="9" s="1"/>
  <c r="K194" i="9"/>
  <c r="L194" i="9" s="1"/>
  <c r="K193" i="9"/>
  <c r="K192" i="9"/>
  <c r="L192" i="9" s="1"/>
  <c r="K191" i="9"/>
  <c r="L191" i="9" s="1"/>
  <c r="K190" i="9"/>
  <c r="L190" i="9" s="1"/>
  <c r="K189" i="9"/>
  <c r="L189" i="9" s="1"/>
  <c r="K188" i="9"/>
  <c r="L188" i="9" s="1"/>
  <c r="K187" i="9"/>
  <c r="L187" i="9" s="1"/>
  <c r="K186" i="9"/>
  <c r="L186" i="9" s="1"/>
  <c r="K185" i="9"/>
  <c r="L185" i="9" s="1"/>
  <c r="K184" i="9"/>
  <c r="L184" i="9" s="1"/>
  <c r="K183" i="9"/>
  <c r="L183" i="9" s="1"/>
  <c r="K182" i="9"/>
  <c r="L182" i="9" s="1"/>
  <c r="K181" i="9"/>
  <c r="K180" i="9"/>
  <c r="L180" i="9" s="1"/>
  <c r="K179" i="9"/>
  <c r="L179" i="9" s="1"/>
  <c r="K178" i="9"/>
  <c r="L178" i="9" s="1"/>
  <c r="K177" i="9"/>
  <c r="L177" i="9" s="1"/>
  <c r="K176" i="9"/>
  <c r="L176" i="9" s="1"/>
  <c r="K175" i="9"/>
  <c r="L175" i="9" s="1"/>
  <c r="K174" i="9"/>
  <c r="L174" i="9" s="1"/>
  <c r="K173" i="9"/>
  <c r="L173" i="9" s="1"/>
  <c r="K172" i="9"/>
  <c r="L172" i="9" s="1"/>
  <c r="K171" i="9"/>
  <c r="L171" i="9" s="1"/>
  <c r="K170" i="9"/>
  <c r="L170" i="9" s="1"/>
  <c r="K169" i="9"/>
  <c r="K168" i="9"/>
  <c r="L168" i="9" s="1"/>
  <c r="K167" i="9"/>
  <c r="L167" i="9" s="1"/>
  <c r="K166" i="9"/>
  <c r="L166" i="9" s="1"/>
  <c r="K165" i="9"/>
  <c r="L165" i="9" s="1"/>
  <c r="K164" i="9"/>
  <c r="L164" i="9" s="1"/>
  <c r="K163" i="9"/>
  <c r="L163" i="9" s="1"/>
  <c r="K162" i="9"/>
  <c r="L162" i="9" s="1"/>
  <c r="K161" i="9"/>
  <c r="L161" i="9" s="1"/>
  <c r="K160" i="9"/>
  <c r="L160" i="9" s="1"/>
  <c r="K159" i="9"/>
  <c r="L159" i="9" s="1"/>
  <c r="K158" i="9"/>
  <c r="L158" i="9" s="1"/>
  <c r="K157" i="9"/>
  <c r="K156" i="9"/>
  <c r="L156" i="9" s="1"/>
  <c r="K155" i="9"/>
  <c r="L155" i="9" s="1"/>
  <c r="K154" i="9"/>
  <c r="L154" i="9" s="1"/>
  <c r="K153" i="9"/>
  <c r="L153" i="9" s="1"/>
  <c r="K152" i="9"/>
  <c r="L152" i="9" s="1"/>
  <c r="K151" i="9"/>
  <c r="L151" i="9" s="1"/>
  <c r="K150" i="9"/>
  <c r="L150" i="9" s="1"/>
  <c r="K149" i="9"/>
  <c r="L149" i="9" s="1"/>
  <c r="K148" i="9"/>
  <c r="L148" i="9" s="1"/>
  <c r="K147" i="9"/>
  <c r="L147" i="9" s="1"/>
  <c r="K146" i="9"/>
  <c r="L146" i="9" s="1"/>
  <c r="K145" i="9"/>
  <c r="K144" i="9"/>
  <c r="L144" i="9" s="1"/>
  <c r="K143" i="9"/>
  <c r="L143" i="9" s="1"/>
  <c r="K142" i="9"/>
  <c r="L142" i="9" s="1"/>
  <c r="K141" i="9"/>
  <c r="L141" i="9" s="1"/>
  <c r="K140" i="9"/>
  <c r="L140" i="9" s="1"/>
  <c r="K139" i="9"/>
  <c r="L139" i="9" s="1"/>
  <c r="K138" i="9"/>
  <c r="L138" i="9" s="1"/>
  <c r="K137" i="9"/>
  <c r="L137" i="9" s="1"/>
  <c r="K136" i="9"/>
  <c r="L136" i="9" s="1"/>
  <c r="K135" i="9"/>
  <c r="L135" i="9" s="1"/>
  <c r="K134" i="9"/>
  <c r="L134" i="9" s="1"/>
  <c r="K133" i="9"/>
  <c r="K132" i="9"/>
  <c r="L132" i="9" s="1"/>
  <c r="K131" i="9"/>
  <c r="L131" i="9" s="1"/>
  <c r="K130" i="9"/>
  <c r="L130" i="9" s="1"/>
  <c r="K129" i="9"/>
  <c r="L129" i="9" s="1"/>
  <c r="K128" i="9"/>
  <c r="L128" i="9" s="1"/>
  <c r="K127" i="9"/>
  <c r="L127" i="9" s="1"/>
  <c r="K126" i="9"/>
  <c r="L126" i="9" s="1"/>
  <c r="K125" i="9"/>
  <c r="L125" i="9" s="1"/>
  <c r="K124" i="9"/>
  <c r="L124" i="9" s="1"/>
  <c r="K123" i="9"/>
  <c r="L123" i="9" s="1"/>
  <c r="K122" i="9"/>
  <c r="L122" i="9" s="1"/>
  <c r="K121" i="9"/>
  <c r="K120" i="9"/>
  <c r="L120" i="9" s="1"/>
  <c r="K119" i="9"/>
  <c r="L119" i="9" s="1"/>
  <c r="K118" i="9"/>
  <c r="L118" i="9" s="1"/>
  <c r="K117" i="9"/>
  <c r="L117" i="9" s="1"/>
  <c r="K116" i="9"/>
  <c r="L116" i="9" s="1"/>
  <c r="K115" i="9"/>
  <c r="L115" i="9" s="1"/>
  <c r="K114" i="9"/>
  <c r="L114" i="9" s="1"/>
  <c r="K113" i="9"/>
  <c r="L113" i="9" s="1"/>
  <c r="K112" i="9"/>
  <c r="L112" i="9" s="1"/>
  <c r="K111" i="9"/>
  <c r="L111" i="9" s="1"/>
  <c r="K110" i="9"/>
  <c r="L110" i="9" s="1"/>
  <c r="K109" i="9"/>
  <c r="K108" i="9"/>
  <c r="L108" i="9" s="1"/>
  <c r="K107" i="9"/>
  <c r="L107" i="9" s="1"/>
  <c r="K106" i="9"/>
  <c r="L106" i="9" s="1"/>
  <c r="K105" i="9"/>
  <c r="L105" i="9" s="1"/>
  <c r="K104" i="9"/>
  <c r="L104" i="9" s="1"/>
  <c r="K103" i="9"/>
  <c r="L103" i="9" s="1"/>
  <c r="K102" i="9"/>
  <c r="L102" i="9" s="1"/>
  <c r="K101" i="9"/>
  <c r="L101" i="9" s="1"/>
  <c r="K100" i="9"/>
  <c r="L100" i="9" s="1"/>
  <c r="K99" i="9"/>
  <c r="L99" i="9" s="1"/>
  <c r="K98" i="9"/>
  <c r="L98" i="9" s="1"/>
  <c r="K97" i="9"/>
  <c r="K96" i="9"/>
  <c r="L96" i="9" s="1"/>
  <c r="K95" i="9"/>
  <c r="L95" i="9" s="1"/>
  <c r="K94" i="9"/>
  <c r="L94" i="9" s="1"/>
  <c r="K93" i="9"/>
  <c r="L93" i="9" s="1"/>
  <c r="K92" i="9"/>
  <c r="L92" i="9" s="1"/>
  <c r="K91" i="9"/>
  <c r="L91" i="9" s="1"/>
  <c r="K90" i="9"/>
  <c r="L90" i="9" s="1"/>
  <c r="K89" i="9"/>
  <c r="L89" i="9" s="1"/>
  <c r="K88" i="9"/>
  <c r="L88" i="9" s="1"/>
  <c r="K87" i="9"/>
  <c r="L87" i="9" s="1"/>
  <c r="K86" i="9"/>
  <c r="L86" i="9" s="1"/>
  <c r="K85" i="9"/>
  <c r="K84" i="9"/>
  <c r="L84" i="9" s="1"/>
  <c r="K83" i="9"/>
  <c r="L83" i="9" s="1"/>
  <c r="K82" i="9"/>
  <c r="L82" i="9" s="1"/>
  <c r="K81" i="9"/>
  <c r="L81" i="9" s="1"/>
  <c r="K80" i="9"/>
  <c r="L80" i="9" s="1"/>
  <c r="K79" i="9"/>
  <c r="L79" i="9" s="1"/>
  <c r="K78" i="9"/>
  <c r="L78" i="9" s="1"/>
  <c r="K77" i="9"/>
  <c r="L77" i="9" s="1"/>
  <c r="K76" i="9"/>
  <c r="L76" i="9" s="1"/>
  <c r="K75" i="9"/>
  <c r="L75" i="9" s="1"/>
  <c r="K74" i="9"/>
  <c r="L74" i="9" s="1"/>
  <c r="K73" i="9"/>
  <c r="K72" i="9"/>
  <c r="L72" i="9" s="1"/>
  <c r="K71" i="9"/>
  <c r="L71" i="9" s="1"/>
  <c r="K70" i="9"/>
  <c r="L70" i="9" s="1"/>
  <c r="K69" i="9"/>
  <c r="L69" i="9" s="1"/>
  <c r="K68" i="9"/>
  <c r="L68" i="9" s="1"/>
  <c r="K67" i="9"/>
  <c r="L67" i="9" s="1"/>
  <c r="K66" i="9"/>
  <c r="L66" i="9" s="1"/>
  <c r="K65" i="9"/>
  <c r="L65" i="9" s="1"/>
  <c r="K64" i="9"/>
  <c r="L64" i="9" s="1"/>
  <c r="K63" i="9"/>
  <c r="L63" i="9" s="1"/>
  <c r="K62" i="9"/>
  <c r="L62" i="9" s="1"/>
  <c r="K61" i="9"/>
  <c r="K60" i="9"/>
  <c r="L60" i="9" s="1"/>
  <c r="K59" i="9"/>
  <c r="L59" i="9" s="1"/>
  <c r="K58" i="9"/>
  <c r="L58" i="9" s="1"/>
  <c r="K57" i="9"/>
  <c r="L57" i="9" s="1"/>
  <c r="K56" i="9"/>
  <c r="L56" i="9" s="1"/>
  <c r="K55" i="9"/>
  <c r="L55" i="9" s="1"/>
  <c r="K54" i="9"/>
  <c r="L54" i="9" s="1"/>
  <c r="K53" i="9"/>
  <c r="L53" i="9" s="1"/>
  <c r="K52" i="9"/>
  <c r="L52" i="9" s="1"/>
  <c r="K51" i="9"/>
  <c r="L51" i="9" s="1"/>
  <c r="K50" i="9"/>
  <c r="L50" i="9" s="1"/>
  <c r="K49" i="9"/>
  <c r="K48" i="9"/>
  <c r="L48" i="9" s="1"/>
  <c r="K47" i="9"/>
  <c r="L47" i="9" s="1"/>
  <c r="K46" i="9"/>
  <c r="L46" i="9" s="1"/>
  <c r="K45" i="9"/>
  <c r="L45" i="9" s="1"/>
  <c r="K44" i="9"/>
  <c r="L44" i="9" s="1"/>
  <c r="K43" i="9"/>
  <c r="L43" i="9" s="1"/>
  <c r="K42" i="9"/>
  <c r="L42" i="9" s="1"/>
  <c r="K41" i="9"/>
  <c r="L41" i="9" s="1"/>
  <c r="K40" i="9"/>
  <c r="L40" i="9" s="1"/>
  <c r="K39" i="9"/>
  <c r="L39" i="9" s="1"/>
  <c r="K38" i="9"/>
  <c r="L38" i="9" s="1"/>
  <c r="K37" i="9"/>
  <c r="K36" i="9"/>
  <c r="L36" i="9" s="1"/>
  <c r="K35" i="9"/>
  <c r="L35" i="9" s="1"/>
  <c r="K34" i="9"/>
  <c r="L34" i="9" s="1"/>
  <c r="K33" i="9"/>
  <c r="L33" i="9" s="1"/>
  <c r="K32" i="9"/>
  <c r="L32" i="9" s="1"/>
  <c r="K31" i="9"/>
  <c r="L31" i="9" s="1"/>
  <c r="K30" i="9"/>
  <c r="L30" i="9" s="1"/>
  <c r="K29" i="9"/>
  <c r="L29" i="9" s="1"/>
  <c r="K28" i="9"/>
  <c r="L28" i="9" s="1"/>
  <c r="K27" i="9"/>
  <c r="L27" i="9" s="1"/>
  <c r="K26" i="9"/>
  <c r="L26" i="9" s="1"/>
  <c r="K25" i="9"/>
  <c r="K24" i="9"/>
  <c r="L24" i="9" s="1"/>
  <c r="K23" i="9"/>
  <c r="L23" i="9" s="1"/>
  <c r="K22" i="9"/>
  <c r="L22" i="9" s="1"/>
  <c r="K21" i="9"/>
  <c r="L21" i="9" s="1"/>
  <c r="K20" i="9"/>
  <c r="L20" i="9" s="1"/>
  <c r="K19" i="9"/>
  <c r="L19" i="9" s="1"/>
  <c r="K18" i="9"/>
  <c r="L18" i="9" s="1"/>
  <c r="K17" i="9"/>
  <c r="L17" i="9" s="1"/>
  <c r="K16" i="9"/>
  <c r="L16" i="9" s="1"/>
  <c r="K15" i="9"/>
  <c r="L15" i="9" s="1"/>
  <c r="K14" i="9"/>
  <c r="L14" i="9" s="1"/>
  <c r="K13" i="9"/>
  <c r="K12" i="9"/>
  <c r="L12" i="9" s="1"/>
  <c r="K11" i="9"/>
  <c r="L11" i="9" s="1"/>
  <c r="K10" i="9"/>
  <c r="L10" i="9" s="1"/>
  <c r="K9" i="9"/>
  <c r="L9" i="9" s="1"/>
  <c r="K8" i="9"/>
  <c r="L8" i="9" s="1"/>
  <c r="K7" i="9"/>
  <c r="L7" i="9" s="1"/>
  <c r="K6" i="9"/>
  <c r="L6" i="9" s="1"/>
  <c r="K5" i="9"/>
  <c r="L5" i="9" s="1"/>
  <c r="K4" i="9"/>
  <c r="L4" i="9" s="1"/>
  <c r="K3" i="9"/>
  <c r="L3" i="9" s="1"/>
  <c r="K2" i="9"/>
  <c r="L2" i="9" s="1"/>
  <c r="L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0EB439-CC59-4F6F-A5F2-1206102007A0}" keepAlive="1" name="Zapytanie — nip_firm" description="Połączenie z zapytaniem „nip_firm” w skoroszycie." type="5" refreshedVersion="0" background="1">
    <dbPr connection="Provider=Microsoft.Mashup.OleDb.1;Data Source=$Workbook$;Location=nip_firm;Extended Properties=&quot;&quot;" command="SELECT * FROM [nip_firm]"/>
  </connection>
  <connection id="2" xr16:uid="{4C58BEAE-7B41-4AB6-83B4-C11C23E9231B}" keepAlive="1" name="Zapytanie — nip_firm (2)" description="Połączenie z zapytaniem „nip_firm (2)” w skoroszycie." type="5" refreshedVersion="8" background="1" saveData="1">
    <dbPr connection="Provider=Microsoft.Mashup.OleDb.1;Data Source=$Workbook$;Location=&quot;nip_firm (2)&quot;;Extended Properties=&quot;&quot;" command="SELECT * FROM [nip_firm (2)]"/>
  </connection>
  <connection id="3" xr16:uid="{A67CB4EE-D2B3-4A7E-BE41-37F63F918782}" keepAlive="1" name="Zapytanie — nip_firm (3)" description="Połączenie z zapytaniem „nip_firm (3)” w skoroszycie." type="5" refreshedVersion="8" background="1" saveData="1">
    <dbPr connection="Provider=Microsoft.Mashup.OleDb.1;Data Source=$Workbook$;Location=&quot;nip_firm (3)&quot;;Extended Properties=&quot;&quot;" command="SELECT * FROM [nip_firm (3)]"/>
  </connection>
  <connection id="4" xr16:uid="{26E132B7-38A9-4461-8350-B3F9BF8F58BC}" keepAlive="1" name="Zapytanie — nip_firm (4)" description="Połączenie z zapytaniem „nip_firm (4)” w skoroszycie." type="5" refreshedVersion="8" background="1" saveData="1">
    <dbPr connection="Provider=Microsoft.Mashup.OleDb.1;Data Source=$Workbook$;Location=&quot;nip_firm (4)&quot;;Extended Properties=&quot;&quot;" command="SELECT * FROM [nip_firm (4)]"/>
  </connection>
  <connection id="5" xr16:uid="{7CF45004-ECFE-4E72-82FD-FC0A774CD7BF}" keepAlive="1" name="Zapytanie — nip_firm (5)" description="Połączenie z zapytaniem „nip_firm (5)” w skoroszycie." type="5" refreshedVersion="8" background="1" saveData="1">
    <dbPr connection="Provider=Microsoft.Mashup.OleDb.1;Data Source=$Workbook$;Location=&quot;nip_firm (5)&quot;;Extended Properties=&quot;&quot;" command="SELECT * FROM [nip_firm (5)]"/>
  </connection>
  <connection id="6" xr16:uid="{866D16C0-D59D-4C36-BF34-78B3761FB16F}" keepAlive="1" name="Zapytanie — nip_firm (6)" description="Połączenie z zapytaniem „nip_firm (6)” w skoroszycie." type="5" refreshedVersion="8" background="1" saveData="1">
    <dbPr connection="Provider=Microsoft.Mashup.OleDb.1;Data Source=$Workbook$;Location=&quot;nip_firm (6)&quot;;Extended Properties=&quot;&quot;" command="SELECT * FROM [nip_firm (6)]"/>
  </connection>
  <connection id="7" xr16:uid="{7ECCF15D-6D22-4C50-8BD2-B5907F854322}" keepAlive="1" name="Zapytanie — nip_firm (7)" description="Połączenie z zapytaniem „nip_firm (7)” w skoroszycie." type="5" refreshedVersion="8" background="1" saveData="1">
    <dbPr connection="Provider=Microsoft.Mashup.OleDb.1;Data Source=$Workbook$;Location=&quot;nip_firm (7)&quot;;Extended Properties=&quot;&quot;" command="SELECT * FROM [nip_firm (7)]"/>
  </connection>
  <connection id="8" xr16:uid="{7A45ED7F-E9F8-4CB4-BF6C-32C7F3307D18}" keepAlive="1" name="Zapytanie — tablice" description="Połączenie z zapytaniem „tablice” w skoroszycie." type="5" refreshedVersion="0" background="1">
    <dbPr connection="Provider=Microsoft.Mashup.OleDb.1;Data Source=$Workbook$;Location=tablice;Extended Properties=&quot;&quot;" command="SELECT * FROM [tablice]"/>
  </connection>
  <connection id="9" xr16:uid="{760CB3A0-F7C8-4330-9497-C26AE62AD635}" keepAlive="1" name="Zapytanie — uslugi" description="Połączenie z zapytaniem „uslugi” w skoroszycie." type="5" refreshedVersion="0" background="1">
    <dbPr connection="Provider=Microsoft.Mashup.OleDb.1;Data Source=$Workbook$;Location=uslugi;Extended Properties=&quot;&quot;" command="SELECT * FROM [uslugi]"/>
  </connection>
  <connection id="10" xr16:uid="{5B98901C-18D7-4D1C-9538-6001B97FD1EA}" keepAlive="1" name="Zapytanie — uslugi (2)" description="Połączenie z zapytaniem „uslugi (2)” w skoroszycie." type="5" refreshedVersion="8" background="1" saveData="1">
    <dbPr connection="Provider=Microsoft.Mashup.OleDb.1;Data Source=$Workbook$;Location=&quot;uslugi (2)&quot;;Extended Properties=&quot;&quot;" command="SELECT * FROM [uslugi (2)]"/>
  </connection>
  <connection id="11" xr16:uid="{CEB90A94-68C1-449E-AD64-D8BFFE5742A8}" keepAlive="1" name="Zapytanie — uslugi (3)" description="Połączenie z zapytaniem „uslugi (3)” w skoroszycie." type="5" refreshedVersion="8" background="1" saveData="1">
    <dbPr connection="Provider=Microsoft.Mashup.OleDb.1;Data Source=$Workbook$;Location=&quot;uslugi (3)&quot;;Extended Properties=&quot;&quot;" command="SELECT * FROM [uslugi (3)]"/>
  </connection>
  <connection id="12" xr16:uid="{F8BAD49C-61FD-4CC1-8176-7EE6F5D9DC5A}" keepAlive="1" name="Zapytanie — uslugi (4)" description="Połączenie z zapytaniem „uslugi (4)” w skoroszycie." type="5" refreshedVersion="8" background="1" saveData="1">
    <dbPr connection="Provider=Microsoft.Mashup.OleDb.1;Data Source=$Workbook$;Location=&quot;uslugi (4)&quot;;Extended Properties=&quot;&quot;" command="SELECT * FROM [uslugi (4)]"/>
  </connection>
  <connection id="13" xr16:uid="{AF39CDFA-4A76-495A-8F47-81EE478F682C}" keepAlive="1" name="Zapytanie — uslugi (5)" description="Połączenie z zapytaniem „uslugi (5)” w skoroszycie." type="5" refreshedVersion="8" background="1" saveData="1">
    <dbPr connection="Provider=Microsoft.Mashup.OleDb.1;Data Source=$Workbook$;Location=&quot;uslugi (5)&quot;;Extended Properties=&quot;&quot;" command="SELECT * FROM [uslugi (5)]"/>
  </connection>
  <connection id="14" xr16:uid="{868C085F-4D35-4A5A-A775-EDFD26D445EF}" keepAlive="1" name="Zapytanie — uslugi (6)" description="Połączenie z zapytaniem „uslugi (6)” w skoroszycie." type="5" refreshedVersion="8" background="1" saveData="1">
    <dbPr connection="Provider=Microsoft.Mashup.OleDb.1;Data Source=$Workbook$;Location=&quot;uslugi (6)&quot;;Extended Properties=&quot;&quot;" command="SELECT * FROM [uslugi (6)]"/>
  </connection>
  <connection id="15" xr16:uid="{765BC4C9-7A46-4DCF-874E-F1FBE4A111FD}" keepAlive="1" name="Zapytanie — uslugi (7)" description="Połączenie z zapytaniem „uslugi (7)” w skoroszycie." type="5" refreshedVersion="8" background="1" saveData="1">
    <dbPr connection="Provider=Microsoft.Mashup.OleDb.1;Data Source=$Workbook$;Location=&quot;uslugi (7)&quot;;Extended Properties=&quot;&quot;" command="SELECT * FROM [uslugi (7)]"/>
  </connection>
</connections>
</file>

<file path=xl/sharedStrings.xml><?xml version="1.0" encoding="utf-8"?>
<sst xmlns="http://schemas.openxmlformats.org/spreadsheetml/2006/main" count="16389" uniqueCount="1513">
  <si>
    <t>ozn</t>
  </si>
  <si>
    <t>powiat</t>
  </si>
  <si>
    <t>siedziba</t>
  </si>
  <si>
    <t>rodzaj</t>
  </si>
  <si>
    <t>CAL</t>
  </si>
  <si>
    <t>aleksandrowski</t>
  </si>
  <si>
    <t>Aleksandrow Kujawski</t>
  </si>
  <si>
    <t>z</t>
  </si>
  <si>
    <t>BAU</t>
  </si>
  <si>
    <t>augustowski</t>
  </si>
  <si>
    <t>Augustow</t>
  </si>
  <si>
    <t>NBA</t>
  </si>
  <si>
    <t>bartoszycki</t>
  </si>
  <si>
    <t>Bartoszyce</t>
  </si>
  <si>
    <t>SBE</t>
  </si>
  <si>
    <t>bedzinski</t>
  </si>
  <si>
    <t>Bedzin</t>
  </si>
  <si>
    <t>EBE</t>
  </si>
  <si>
    <t>belchatowski</t>
  </si>
  <si>
    <t>Belchatow</t>
  </si>
  <si>
    <t>LB</t>
  </si>
  <si>
    <t>Biala Podlaska</t>
  </si>
  <si>
    <t>g</t>
  </si>
  <si>
    <t>WBR</t>
  </si>
  <si>
    <t>bialobrzeski</t>
  </si>
  <si>
    <t>Bialobrzegi</t>
  </si>
  <si>
    <t>ZBI</t>
  </si>
  <si>
    <t>bialogardzki</t>
  </si>
  <si>
    <t>Bialogard</t>
  </si>
  <si>
    <t>BIA</t>
  </si>
  <si>
    <t>bialostocki</t>
  </si>
  <si>
    <t>Bialystok</t>
  </si>
  <si>
    <t>LBI</t>
  </si>
  <si>
    <t>bialski</t>
  </si>
  <si>
    <t>BI</t>
  </si>
  <si>
    <t>BBI</t>
  </si>
  <si>
    <t>bielski</t>
  </si>
  <si>
    <t>Bielsk Podlaski</t>
  </si>
  <si>
    <t>SBI</t>
  </si>
  <si>
    <t>Bielsko-Biala</t>
  </si>
  <si>
    <t>SB</t>
  </si>
  <si>
    <t>SBL</t>
  </si>
  <si>
    <t>bierunsko-ledzinski</t>
  </si>
  <si>
    <t>Bierun</t>
  </si>
  <si>
    <t>RBI</t>
  </si>
  <si>
    <t>bieszczadzki</t>
  </si>
  <si>
    <t>Ustrzyki Dolne</t>
  </si>
  <si>
    <t>LBL</t>
  </si>
  <si>
    <t>bilgorajski</t>
  </si>
  <si>
    <t>Bilgoraj</t>
  </si>
  <si>
    <t>KBC</t>
  </si>
  <si>
    <t>bochenski</t>
  </si>
  <si>
    <t>Bochnia</t>
  </si>
  <si>
    <t>DBL</t>
  </si>
  <si>
    <t>boleslawiecki</t>
  </si>
  <si>
    <t>Boleslawiec</t>
  </si>
  <si>
    <t>NBR</t>
  </si>
  <si>
    <t>braniewski</t>
  </si>
  <si>
    <t>Braniewo</t>
  </si>
  <si>
    <t>CBR</t>
  </si>
  <si>
    <t>brodnicki</t>
  </si>
  <si>
    <t>Brodnica</t>
  </si>
  <si>
    <t>OB</t>
  </si>
  <si>
    <t>brzeski</t>
  </si>
  <si>
    <t>Brzeg</t>
  </si>
  <si>
    <t>KBR</t>
  </si>
  <si>
    <t>Brzesko</t>
  </si>
  <si>
    <t>EBR</t>
  </si>
  <si>
    <t>brzezinski</t>
  </si>
  <si>
    <t>Brzeziny</t>
  </si>
  <si>
    <t>RBR</t>
  </si>
  <si>
    <t>brzozowski</t>
  </si>
  <si>
    <t>Brzozow</t>
  </si>
  <si>
    <t>TBU</t>
  </si>
  <si>
    <t>buski</t>
  </si>
  <si>
    <t>Busko Zdroj</t>
  </si>
  <si>
    <t>CBY</t>
  </si>
  <si>
    <t>bydgoski</t>
  </si>
  <si>
    <t>Bydgoszcz</t>
  </si>
  <si>
    <t>CB</t>
  </si>
  <si>
    <t>SY</t>
  </si>
  <si>
    <t>Bytom</t>
  </si>
  <si>
    <t>GBY</t>
  </si>
  <si>
    <t>bytowski</t>
  </si>
  <si>
    <t>Bytow</t>
  </si>
  <si>
    <t>LC</t>
  </si>
  <si>
    <t>Chelm</t>
  </si>
  <si>
    <t>CCH</t>
  </si>
  <si>
    <t>chelminski</t>
  </si>
  <si>
    <t>Chelmno</t>
  </si>
  <si>
    <t>LCH</t>
  </si>
  <si>
    <t>chelmski</t>
  </si>
  <si>
    <t>PCH</t>
  </si>
  <si>
    <t>chodzieski</t>
  </si>
  <si>
    <t>Chodziez</t>
  </si>
  <si>
    <t>GCH</t>
  </si>
  <si>
    <t>chojnicki</t>
  </si>
  <si>
    <t>Chojnice</t>
  </si>
  <si>
    <t>SH</t>
  </si>
  <si>
    <t>Chorzow</t>
  </si>
  <si>
    <t>ZCH</t>
  </si>
  <si>
    <t>choszczenski</t>
  </si>
  <si>
    <t>Choszczno</t>
  </si>
  <si>
    <t>KCH</t>
  </si>
  <si>
    <t>chrzanowski</t>
  </si>
  <si>
    <t>Chrzanow</t>
  </si>
  <si>
    <t>WCI</t>
  </si>
  <si>
    <t>ciechanowski</t>
  </si>
  <si>
    <t>Ciechanow</t>
  </si>
  <si>
    <t>SCI</t>
  </si>
  <si>
    <t>cieszynski</t>
  </si>
  <si>
    <t>Cieszyn</t>
  </si>
  <si>
    <t>PCT</t>
  </si>
  <si>
    <t>czarnkowsko-trzcianecki</t>
  </si>
  <si>
    <t>Czarnkow</t>
  </si>
  <si>
    <t>SC</t>
  </si>
  <si>
    <t>Czestochowa</t>
  </si>
  <si>
    <t>SCZ</t>
  </si>
  <si>
    <t>czestochowski</t>
  </si>
  <si>
    <t>GCZ</t>
  </si>
  <si>
    <t>czluchowski</t>
  </si>
  <si>
    <t>Czluchow</t>
  </si>
  <si>
    <t>SD</t>
  </si>
  <si>
    <t>Dabrowa Gornicza</t>
  </si>
  <si>
    <t>KDA</t>
  </si>
  <si>
    <t>dabrowski</t>
  </si>
  <si>
    <t>Dabrowa Tarnowska</t>
  </si>
  <si>
    <t>RDE</t>
  </si>
  <si>
    <t>debicki</t>
  </si>
  <si>
    <t>Debica</t>
  </si>
  <si>
    <t>ZDR</t>
  </si>
  <si>
    <t>drawski</t>
  </si>
  <si>
    <t>Drawsko Pomorskie</t>
  </si>
  <si>
    <t>NDZ</t>
  </si>
  <si>
    <t>dzialdowski</t>
  </si>
  <si>
    <t>Dzialdowo</t>
  </si>
  <si>
    <t>DDZ</t>
  </si>
  <si>
    <t>dzierzoniowski</t>
  </si>
  <si>
    <t>Dzierzoniow</t>
  </si>
  <si>
    <t>NE</t>
  </si>
  <si>
    <t>Elblag</t>
  </si>
  <si>
    <t>NEB</t>
  </si>
  <si>
    <t>elblaski</t>
  </si>
  <si>
    <t>NEL</t>
  </si>
  <si>
    <t>elcki</t>
  </si>
  <si>
    <t>Elk</t>
  </si>
  <si>
    <t>WG</t>
  </si>
  <si>
    <t>garwolinski</t>
  </si>
  <si>
    <t>Garwolin</t>
  </si>
  <si>
    <t>GD</t>
  </si>
  <si>
    <t>Gdansk</t>
  </si>
  <si>
    <t>GDA</t>
  </si>
  <si>
    <t>gdanski</t>
  </si>
  <si>
    <t>Pruszcz Gdanski</t>
  </si>
  <si>
    <t>GA</t>
  </si>
  <si>
    <t>Gdynia</t>
  </si>
  <si>
    <t>NGI</t>
  </si>
  <si>
    <t>gizycki</t>
  </si>
  <si>
    <t>Gizycko</t>
  </si>
  <si>
    <t>SG</t>
  </si>
  <si>
    <t>Gliwice</t>
  </si>
  <si>
    <t>SGL</t>
  </si>
  <si>
    <t>gliwicki</t>
  </si>
  <si>
    <t>DGL</t>
  </si>
  <si>
    <t>glogowski</t>
  </si>
  <si>
    <t>Glogow</t>
  </si>
  <si>
    <t>OGL</t>
  </si>
  <si>
    <t>glubczycki</t>
  </si>
  <si>
    <t>Glubczyce</t>
  </si>
  <si>
    <t>PGN</t>
  </si>
  <si>
    <t>gnieznienski</t>
  </si>
  <si>
    <t>Gniezno</t>
  </si>
  <si>
    <t>NGO</t>
  </si>
  <si>
    <t>goldapski</t>
  </si>
  <si>
    <t>Goldap</t>
  </si>
  <si>
    <t>ZGL</t>
  </si>
  <si>
    <t>goleniowski</t>
  </si>
  <si>
    <t>Goleniow</t>
  </si>
  <si>
    <t>CGD</t>
  </si>
  <si>
    <t>golubsko-dobrzynski</t>
  </si>
  <si>
    <t>Golub-Dobrzyn</t>
  </si>
  <si>
    <t>KGR</t>
  </si>
  <si>
    <t>gorlicki</t>
  </si>
  <si>
    <t>Gorlice</t>
  </si>
  <si>
    <t>DGR</t>
  </si>
  <si>
    <t>gorowski</t>
  </si>
  <si>
    <t>Gora</t>
  </si>
  <si>
    <t>FG</t>
  </si>
  <si>
    <t>Gorzow</t>
  </si>
  <si>
    <t>FGW</t>
  </si>
  <si>
    <t>gorzowski</t>
  </si>
  <si>
    <t>Gorzow Wielkopolski</t>
  </si>
  <si>
    <t>WGS</t>
  </si>
  <si>
    <t>gostyninski</t>
  </si>
  <si>
    <t>Gostynin</t>
  </si>
  <si>
    <t>PGS</t>
  </si>
  <si>
    <t>gostynski</t>
  </si>
  <si>
    <t>Gostyn</t>
  </si>
  <si>
    <t>BGR</t>
  </si>
  <si>
    <t>grajewski</t>
  </si>
  <si>
    <t>Grajewo</t>
  </si>
  <si>
    <t>WGM</t>
  </si>
  <si>
    <t>grodziski</t>
  </si>
  <si>
    <t>Grodzisk Mazowiecki</t>
  </si>
  <si>
    <t>PGO</t>
  </si>
  <si>
    <t>Grodzisk Wielkopolski</t>
  </si>
  <si>
    <t>WGR</t>
  </si>
  <si>
    <t>grojecki</t>
  </si>
  <si>
    <t>Grojec</t>
  </si>
  <si>
    <t>CG</t>
  </si>
  <si>
    <t>Grudziadz</t>
  </si>
  <si>
    <t>CGR</t>
  </si>
  <si>
    <t>grudziadzki</t>
  </si>
  <si>
    <t>ZGY</t>
  </si>
  <si>
    <t>gryficki</t>
  </si>
  <si>
    <t>Gryfice</t>
  </si>
  <si>
    <t>ZGR</t>
  </si>
  <si>
    <t>gryfinski</t>
  </si>
  <si>
    <t>Gryfino</t>
  </si>
  <si>
    <t>BHA</t>
  </si>
  <si>
    <t>hajnowski</t>
  </si>
  <si>
    <t>Hajnowka</t>
  </si>
  <si>
    <t>LHR</t>
  </si>
  <si>
    <t>hrubieszowski</t>
  </si>
  <si>
    <t>Hrubieszow</t>
  </si>
  <si>
    <t>NIL</t>
  </si>
  <si>
    <t>ilawski</t>
  </si>
  <si>
    <t>Ilawa</t>
  </si>
  <si>
    <t>CIN</t>
  </si>
  <si>
    <t>inowroclawski</t>
  </si>
  <si>
    <t>Inowroclaw</t>
  </si>
  <si>
    <t>LJA</t>
  </si>
  <si>
    <t>janowski</t>
  </si>
  <si>
    <t>Janow Lubelski</t>
  </si>
  <si>
    <t>PJA</t>
  </si>
  <si>
    <t>jarocinski</t>
  </si>
  <si>
    <t>Jarocin</t>
  </si>
  <si>
    <t>RJA</t>
  </si>
  <si>
    <t>jaroslawski</t>
  </si>
  <si>
    <t>Jaroslaw</t>
  </si>
  <si>
    <t>RJS</t>
  </si>
  <si>
    <t>jasielski</t>
  </si>
  <si>
    <t>Jaslo</t>
  </si>
  <si>
    <t>SJZ</t>
  </si>
  <si>
    <t>Jastrzebie-Zdroj</t>
  </si>
  <si>
    <t>DJA</t>
  </si>
  <si>
    <t>jaworski</t>
  </si>
  <si>
    <t>Jawor</t>
  </si>
  <si>
    <t>SJ</t>
  </si>
  <si>
    <t>Jaworzno</t>
  </si>
  <si>
    <t>TJE</t>
  </si>
  <si>
    <t>jedrzejowski</t>
  </si>
  <si>
    <t>Jedrzejow</t>
  </si>
  <si>
    <t>DJ</t>
  </si>
  <si>
    <t>Jelenia Gora</t>
  </si>
  <si>
    <t>DJE</t>
  </si>
  <si>
    <t>jeleniogorski</t>
  </si>
  <si>
    <t>PKA</t>
  </si>
  <si>
    <t>kaliski</t>
  </si>
  <si>
    <t>Kalisz</t>
  </si>
  <si>
    <t>PK</t>
  </si>
  <si>
    <t>DKA</t>
  </si>
  <si>
    <t>kamiennogorski</t>
  </si>
  <si>
    <t>Kamienna Gora</t>
  </si>
  <si>
    <t>ZKA</t>
  </si>
  <si>
    <t>kamienski</t>
  </si>
  <si>
    <t>Kamien Pomorski</t>
  </si>
  <si>
    <t>GKA</t>
  </si>
  <si>
    <t>kartuski</t>
  </si>
  <si>
    <t>Kartuzy</t>
  </si>
  <si>
    <t>SK</t>
  </si>
  <si>
    <t>Katowice</t>
  </si>
  <si>
    <t>TKA</t>
  </si>
  <si>
    <t>kazimierski</t>
  </si>
  <si>
    <t>Kazimierza Wielka</t>
  </si>
  <si>
    <t>OK</t>
  </si>
  <si>
    <t>kedzierzynsko-kozielski</t>
  </si>
  <si>
    <t>Kedzierzyn-Kozle</t>
  </si>
  <si>
    <t>PKE</t>
  </si>
  <si>
    <t>kepinski</t>
  </si>
  <si>
    <t>Kepno</t>
  </si>
  <si>
    <t>NKE</t>
  </si>
  <si>
    <t>ketrzynski</t>
  </si>
  <si>
    <t>Ketrzyn</t>
  </si>
  <si>
    <t>TK</t>
  </si>
  <si>
    <t>Kielce</t>
  </si>
  <si>
    <t>TKI</t>
  </si>
  <si>
    <t>kielecki</t>
  </si>
  <si>
    <t>SKL</t>
  </si>
  <si>
    <t>klobucki</t>
  </si>
  <si>
    <t>Klobuck</t>
  </si>
  <si>
    <t>DKL</t>
  </si>
  <si>
    <t>klodzki</t>
  </si>
  <si>
    <t>Klodzko</t>
  </si>
  <si>
    <t>OKL</t>
  </si>
  <si>
    <t>kluczborski</t>
  </si>
  <si>
    <t>Kluczbork</t>
  </si>
  <si>
    <t>RKL</t>
  </si>
  <si>
    <t>kolbuszowski</t>
  </si>
  <si>
    <t>Kolbuszowa</t>
  </si>
  <si>
    <t>BKL</t>
  </si>
  <si>
    <t>kolnenski</t>
  </si>
  <si>
    <t>Kolno</t>
  </si>
  <si>
    <t>ZKL</t>
  </si>
  <si>
    <t>kolobrzeski</t>
  </si>
  <si>
    <t>Kolobrzeg</t>
  </si>
  <si>
    <t>PKL</t>
  </si>
  <si>
    <t>kolski</t>
  </si>
  <si>
    <t>Kolo</t>
  </si>
  <si>
    <t>TKN</t>
  </si>
  <si>
    <t>konecki</t>
  </si>
  <si>
    <t>Konskie</t>
  </si>
  <si>
    <t>PKO</t>
  </si>
  <si>
    <t>Konin</t>
  </si>
  <si>
    <t>PN</t>
  </si>
  <si>
    <t>PKN</t>
  </si>
  <si>
    <t>koninski</t>
  </si>
  <si>
    <t>PKS</t>
  </si>
  <si>
    <t>koscianski</t>
  </si>
  <si>
    <t>Koscian</t>
  </si>
  <si>
    <t>GKS</t>
  </si>
  <si>
    <t>koscierski</t>
  </si>
  <si>
    <t>Koscierzyna</t>
  </si>
  <si>
    <t>ZK</t>
  </si>
  <si>
    <t>Koszalin</t>
  </si>
  <si>
    <t>ZKO</t>
  </si>
  <si>
    <t>koszalinski</t>
  </si>
  <si>
    <t>WKZ</t>
  </si>
  <si>
    <t>kozienicki</t>
  </si>
  <si>
    <t>Kozienice</t>
  </si>
  <si>
    <t>KR</t>
  </si>
  <si>
    <t>Krakow</t>
  </si>
  <si>
    <t>KRA</t>
  </si>
  <si>
    <t>krakowski</t>
  </si>
  <si>
    <t>OKR</t>
  </si>
  <si>
    <t>krapkowicki</t>
  </si>
  <si>
    <t>Krapkowice</t>
  </si>
  <si>
    <t>LKR</t>
  </si>
  <si>
    <t>krasnicki</t>
  </si>
  <si>
    <t>Krasnik</t>
  </si>
  <si>
    <t>LKS</t>
  </si>
  <si>
    <t>krasnostawski</t>
  </si>
  <si>
    <t>Krasnystaw</t>
  </si>
  <si>
    <t>RKR</t>
  </si>
  <si>
    <t>krosnienski</t>
  </si>
  <si>
    <t>Krosno</t>
  </si>
  <si>
    <t>FKR</t>
  </si>
  <si>
    <t>Krosno Odrzanskie</t>
  </si>
  <si>
    <t>RK</t>
  </si>
  <si>
    <t>PKR</t>
  </si>
  <si>
    <t>krotoszynski</t>
  </si>
  <si>
    <t>Krotoszyn</t>
  </si>
  <si>
    <t>EKU</t>
  </si>
  <si>
    <t>kutnowski</t>
  </si>
  <si>
    <t>Kutno</t>
  </si>
  <si>
    <t>GKW</t>
  </si>
  <si>
    <t>kwidzynski</t>
  </si>
  <si>
    <t>Kwidzyn</t>
  </si>
  <si>
    <t>RLA</t>
  </si>
  <si>
    <t>lancucki</t>
  </si>
  <si>
    <t>Lancut</t>
  </si>
  <si>
    <t>ELA</t>
  </si>
  <si>
    <t>laski</t>
  </si>
  <si>
    <t>Lask</t>
  </si>
  <si>
    <t>GLE</t>
  </si>
  <si>
    <t>leborski</t>
  </si>
  <si>
    <t>Lebork</t>
  </si>
  <si>
    <t>ELE</t>
  </si>
  <si>
    <t>leczycki</t>
  </si>
  <si>
    <t>Leczyca</t>
  </si>
  <si>
    <t>LLE</t>
  </si>
  <si>
    <t>leczynski</t>
  </si>
  <si>
    <t>Leczna</t>
  </si>
  <si>
    <t>WL</t>
  </si>
  <si>
    <t>legionowski</t>
  </si>
  <si>
    <t>Legionowo</t>
  </si>
  <si>
    <t>DL</t>
  </si>
  <si>
    <t>Legnica</t>
  </si>
  <si>
    <t>DLE</t>
  </si>
  <si>
    <t>legnicki</t>
  </si>
  <si>
    <t>RLS</t>
  </si>
  <si>
    <t>leski</t>
  </si>
  <si>
    <t>Lesko</t>
  </si>
  <si>
    <t>PLE</t>
  </si>
  <si>
    <t>leszczynski</t>
  </si>
  <si>
    <t>Leszno</t>
  </si>
  <si>
    <t>PL</t>
  </si>
  <si>
    <t>RLE</t>
  </si>
  <si>
    <t>lezajski</t>
  </si>
  <si>
    <t>Lezajsk</t>
  </si>
  <si>
    <t>NLI</t>
  </si>
  <si>
    <t>lidzbarski</t>
  </si>
  <si>
    <t>Lidzbark Warminski</t>
  </si>
  <si>
    <t>KLI</t>
  </si>
  <si>
    <t>limanowski</t>
  </si>
  <si>
    <t>Limanowa</t>
  </si>
  <si>
    <t>CLI</t>
  </si>
  <si>
    <t>lipnowski</t>
  </si>
  <si>
    <t>Lipno</t>
  </si>
  <si>
    <t>WLI</t>
  </si>
  <si>
    <t>lipski</t>
  </si>
  <si>
    <t>Lipsko</t>
  </si>
  <si>
    <t>ZLO</t>
  </si>
  <si>
    <t>lobeski</t>
  </si>
  <si>
    <t>Lobez</t>
  </si>
  <si>
    <t>EL</t>
  </si>
  <si>
    <t>Lodz</t>
  </si>
  <si>
    <t>ELW</t>
  </si>
  <si>
    <t>lodzki wschodni</t>
  </si>
  <si>
    <t>BL</t>
  </si>
  <si>
    <t>Lomza</t>
  </si>
  <si>
    <t>BLM</t>
  </si>
  <si>
    <t>lomzynski</t>
  </si>
  <si>
    <t>WLS</t>
  </si>
  <si>
    <t>losicki</t>
  </si>
  <si>
    <t>Losice</t>
  </si>
  <si>
    <t>ELC</t>
  </si>
  <si>
    <t>lowicki</t>
  </si>
  <si>
    <t>Lowicz</t>
  </si>
  <si>
    <t>RLU</t>
  </si>
  <si>
    <t>lubaczowski</t>
  </si>
  <si>
    <t>Lubaczow</t>
  </si>
  <si>
    <t>DLB</t>
  </si>
  <si>
    <t>lubanski</t>
  </si>
  <si>
    <t>Luban</t>
  </si>
  <si>
    <t>LLB</t>
  </si>
  <si>
    <t>lubartowski</t>
  </si>
  <si>
    <t>Lubartow</t>
  </si>
  <si>
    <t>LUB</t>
  </si>
  <si>
    <t>lubelski</t>
  </si>
  <si>
    <t>Lublin</t>
  </si>
  <si>
    <t>DLU</t>
  </si>
  <si>
    <t>lubinski</t>
  </si>
  <si>
    <t>Lubin</t>
  </si>
  <si>
    <t>LU</t>
  </si>
  <si>
    <t>SLU</t>
  </si>
  <si>
    <t>lubliniecki</t>
  </si>
  <si>
    <t>Lubliniec</t>
  </si>
  <si>
    <t>LLU</t>
  </si>
  <si>
    <t>lukowski</t>
  </si>
  <si>
    <t>Lukow</t>
  </si>
  <si>
    <t>DLW</t>
  </si>
  <si>
    <t>lwowecki</t>
  </si>
  <si>
    <t>Lwowek slaski</t>
  </si>
  <si>
    <t>WMA</t>
  </si>
  <si>
    <t>makowski</t>
  </si>
  <si>
    <t>Makow Mazowiecki</t>
  </si>
  <si>
    <t>GMB</t>
  </si>
  <si>
    <t>malborski</t>
  </si>
  <si>
    <t>Malbork</t>
  </si>
  <si>
    <t>KMI</t>
  </si>
  <si>
    <t>miechowski</t>
  </si>
  <si>
    <t>Miechow</t>
  </si>
  <si>
    <t>PMI</t>
  </si>
  <si>
    <t>miedzychodzki</t>
  </si>
  <si>
    <t>Miedzychod</t>
  </si>
  <si>
    <t>FMI</t>
  </si>
  <si>
    <t>miedzyrzecki</t>
  </si>
  <si>
    <t>Miedzyrzecz</t>
  </si>
  <si>
    <t>RMI</t>
  </si>
  <si>
    <t>mielecki</t>
  </si>
  <si>
    <t>Mielec</t>
  </si>
  <si>
    <t>SMI</t>
  </si>
  <si>
    <t>mikolowski</t>
  </si>
  <si>
    <t>Mikolow</t>
  </si>
  <si>
    <t>DMI</t>
  </si>
  <si>
    <t>milicki</t>
  </si>
  <si>
    <t>Milicz</t>
  </si>
  <si>
    <t>WM</t>
  </si>
  <si>
    <t>minski</t>
  </si>
  <si>
    <t>Minsk Mazowiecki</t>
  </si>
  <si>
    <t>WML</t>
  </si>
  <si>
    <t>mlawski</t>
  </si>
  <si>
    <t>Mlawa</t>
  </si>
  <si>
    <t>CMG</t>
  </si>
  <si>
    <t>mogilenski</t>
  </si>
  <si>
    <t>Mogilno</t>
  </si>
  <si>
    <t>BMN</t>
  </si>
  <si>
    <t>moniecki</t>
  </si>
  <si>
    <t>Monki</t>
  </si>
  <si>
    <t>NMR</t>
  </si>
  <si>
    <t>mragowski</t>
  </si>
  <si>
    <t>Mragowo</t>
  </si>
  <si>
    <t>KMY</t>
  </si>
  <si>
    <t>myslenicki</t>
  </si>
  <si>
    <t>Myslenice</t>
  </si>
  <si>
    <t>ZMY</t>
  </si>
  <si>
    <t>mysliborski</t>
  </si>
  <si>
    <t>Mysliborz</t>
  </si>
  <si>
    <t>SM</t>
  </si>
  <si>
    <t>Myslowice</t>
  </si>
  <si>
    <t>SMY</t>
  </si>
  <si>
    <t>myszkowski</t>
  </si>
  <si>
    <t>Myszkow</t>
  </si>
  <si>
    <t>CNA</t>
  </si>
  <si>
    <t>nakielski</t>
  </si>
  <si>
    <t>Naklo n. Notecia</t>
  </si>
  <si>
    <t>ONA</t>
  </si>
  <si>
    <t>namyslowski</t>
  </si>
  <si>
    <t>Namyslow</t>
  </si>
  <si>
    <t>NNI</t>
  </si>
  <si>
    <t>nidzicki</t>
  </si>
  <si>
    <t>Nidzica</t>
  </si>
  <si>
    <t>RNI</t>
  </si>
  <si>
    <t>nizanski</t>
  </si>
  <si>
    <t>Nisko</t>
  </si>
  <si>
    <t>GND</t>
  </si>
  <si>
    <t>nowodworski</t>
  </si>
  <si>
    <t>Nowy Dwor Gdanski</t>
  </si>
  <si>
    <t>WND</t>
  </si>
  <si>
    <t>Nowy Dwor Mazowiecki</t>
  </si>
  <si>
    <t>NNM</t>
  </si>
  <si>
    <t>nowomiejski</t>
  </si>
  <si>
    <t>Nowe Miasto Lubawskie</t>
  </si>
  <si>
    <t>KNS</t>
  </si>
  <si>
    <t>nowosadecki</t>
  </si>
  <si>
    <t>Nowy Sacz</t>
  </si>
  <si>
    <t>FNW</t>
  </si>
  <si>
    <t>nowosolski</t>
  </si>
  <si>
    <t>Nowa Sol</t>
  </si>
  <si>
    <t>KNT</t>
  </si>
  <si>
    <t>nowotarski</t>
  </si>
  <si>
    <t>Nowy Targ</t>
  </si>
  <si>
    <t>PNT</t>
  </si>
  <si>
    <t>nowotomyski</t>
  </si>
  <si>
    <t>Nowy Tomysl</t>
  </si>
  <si>
    <t>KN</t>
  </si>
  <si>
    <t>ONY</t>
  </si>
  <si>
    <t>nyski</t>
  </si>
  <si>
    <t>Nysa</t>
  </si>
  <si>
    <t>POB</t>
  </si>
  <si>
    <t>obornicki</t>
  </si>
  <si>
    <t>Oborniki</t>
  </si>
  <si>
    <t>DOA</t>
  </si>
  <si>
    <t>olawski</t>
  </si>
  <si>
    <t>Olawa</t>
  </si>
  <si>
    <t>NOE</t>
  </si>
  <si>
    <t>olecki</t>
  </si>
  <si>
    <t>Olecko</t>
  </si>
  <si>
    <t>NOG</t>
  </si>
  <si>
    <t>olecko-goldapski</t>
  </si>
  <si>
    <t>OOL</t>
  </si>
  <si>
    <t>oleski</t>
  </si>
  <si>
    <t>Olesno</t>
  </si>
  <si>
    <t>DOL</t>
  </si>
  <si>
    <t>olesnicki</t>
  </si>
  <si>
    <t>Olesnica</t>
  </si>
  <si>
    <t>KOL</t>
  </si>
  <si>
    <t>olkuski</t>
  </si>
  <si>
    <t>Olkusz</t>
  </si>
  <si>
    <t>NO</t>
  </si>
  <si>
    <t>Olsztyn</t>
  </si>
  <si>
    <t>NOL</t>
  </si>
  <si>
    <t>olsztynski</t>
  </si>
  <si>
    <t>TOP</t>
  </si>
  <si>
    <t>opatowski</t>
  </si>
  <si>
    <t>Opatow</t>
  </si>
  <si>
    <t>EOP</t>
  </si>
  <si>
    <t>opoczynski</t>
  </si>
  <si>
    <t>Opoczno</t>
  </si>
  <si>
    <t>OP</t>
  </si>
  <si>
    <t>Opole</t>
  </si>
  <si>
    <t>OPO</t>
  </si>
  <si>
    <t>opolski</t>
  </si>
  <si>
    <t>LOP</t>
  </si>
  <si>
    <t>Opole Lubelskie</t>
  </si>
  <si>
    <t>NOS</t>
  </si>
  <si>
    <t>ostrodzki</t>
  </si>
  <si>
    <t>Ostroda</t>
  </si>
  <si>
    <t>WOS</t>
  </si>
  <si>
    <t>ostrolecki</t>
  </si>
  <si>
    <t>Ostroleka</t>
  </si>
  <si>
    <t>WO</t>
  </si>
  <si>
    <t>TOS</t>
  </si>
  <si>
    <t>ostrowiecki</t>
  </si>
  <si>
    <t>Ostrow swietokrzyski</t>
  </si>
  <si>
    <t>WOR</t>
  </si>
  <si>
    <t>ostrowski</t>
  </si>
  <si>
    <t>Ostrow Mazowiecka</t>
  </si>
  <si>
    <t>POS</t>
  </si>
  <si>
    <t>Ostrow Wielkopolski</t>
  </si>
  <si>
    <t>POT</t>
  </si>
  <si>
    <t>ostrzeszowski</t>
  </si>
  <si>
    <t>Ostrzeszow</t>
  </si>
  <si>
    <t>KOS</t>
  </si>
  <si>
    <t>oswiecimski</t>
  </si>
  <si>
    <t>Oswiecim</t>
  </si>
  <si>
    <t>WOT</t>
  </si>
  <si>
    <t>otwocki</t>
  </si>
  <si>
    <t>Otwock</t>
  </si>
  <si>
    <t>EPA</t>
  </si>
  <si>
    <t>pabianicki</t>
  </si>
  <si>
    <t>Pabianice</t>
  </si>
  <si>
    <t>EPJ</t>
  </si>
  <si>
    <t>pajeczanski</t>
  </si>
  <si>
    <t>Pajeczno</t>
  </si>
  <si>
    <t>LPA</t>
  </si>
  <si>
    <t>parczewski</t>
  </si>
  <si>
    <t>Parczew</t>
  </si>
  <si>
    <t>WPI</t>
  </si>
  <si>
    <t>piaseczynski</t>
  </si>
  <si>
    <t>Piaseczno</t>
  </si>
  <si>
    <t>SPI</t>
  </si>
  <si>
    <t>Piekary Slaskie</t>
  </si>
  <si>
    <t>PP</t>
  </si>
  <si>
    <t>pilski</t>
  </si>
  <si>
    <t>Pila</t>
  </si>
  <si>
    <t>TPI</t>
  </si>
  <si>
    <t>pinczowski</t>
  </si>
  <si>
    <t>Pinczow</t>
  </si>
  <si>
    <t>EP</t>
  </si>
  <si>
    <t>Piotrkow Trybunalski</t>
  </si>
  <si>
    <t>EPI</t>
  </si>
  <si>
    <t>piotrkowski</t>
  </si>
  <si>
    <t>NPI</t>
  </si>
  <si>
    <t>piski</t>
  </si>
  <si>
    <t>Pisz</t>
  </si>
  <si>
    <t>PPL</t>
  </si>
  <si>
    <t>pleszewski</t>
  </si>
  <si>
    <t>Pleszew</t>
  </si>
  <si>
    <t>WP</t>
  </si>
  <si>
    <t>Plock</t>
  </si>
  <si>
    <t>WPL</t>
  </si>
  <si>
    <t>plocki</t>
  </si>
  <si>
    <t>WPN</t>
  </si>
  <si>
    <t>plonski</t>
  </si>
  <si>
    <t>Plonsk</t>
  </si>
  <si>
    <t>EPD</t>
  </si>
  <si>
    <t>poddebicki</t>
  </si>
  <si>
    <t>Poddebice</t>
  </si>
  <si>
    <t>ZPL</t>
  </si>
  <si>
    <t>policki</t>
  </si>
  <si>
    <t>Police</t>
  </si>
  <si>
    <t>DPL</t>
  </si>
  <si>
    <t>polkowicki</t>
  </si>
  <si>
    <t>Polkowice</t>
  </si>
  <si>
    <t>PO</t>
  </si>
  <si>
    <t>Poznan</t>
  </si>
  <si>
    <t>PZ</t>
  </si>
  <si>
    <t>poznanski</t>
  </si>
  <si>
    <t>KPR</t>
  </si>
  <si>
    <t>proszowicki</t>
  </si>
  <si>
    <t>Proszowice</t>
  </si>
  <si>
    <t>OPR</t>
  </si>
  <si>
    <t>prudnicki</t>
  </si>
  <si>
    <t>Prudnik</t>
  </si>
  <si>
    <t>WPR</t>
  </si>
  <si>
    <t>pruszkowski</t>
  </si>
  <si>
    <t>Pruszkow</t>
  </si>
  <si>
    <t>WPZ</t>
  </si>
  <si>
    <t>przasnyski</t>
  </si>
  <si>
    <t>Przasnysz</t>
  </si>
  <si>
    <t>RPR</t>
  </si>
  <si>
    <t>przemyski</t>
  </si>
  <si>
    <t>Przemysl</t>
  </si>
  <si>
    <t>RP</t>
  </si>
  <si>
    <t>RPZ</t>
  </si>
  <si>
    <t>przeworski</t>
  </si>
  <si>
    <t>Przeworsk</t>
  </si>
  <si>
    <t>WPY</t>
  </si>
  <si>
    <t>przysuski</t>
  </si>
  <si>
    <t>Przysucha</t>
  </si>
  <si>
    <t>SPS</t>
  </si>
  <si>
    <t>pszczynski</t>
  </si>
  <si>
    <t>Pszczyna</t>
  </si>
  <si>
    <t>GPU</t>
  </si>
  <si>
    <t>pucki</t>
  </si>
  <si>
    <t>Puck</t>
  </si>
  <si>
    <t>LPU</t>
  </si>
  <si>
    <t>pulawski</t>
  </si>
  <si>
    <t>Pulawy</t>
  </si>
  <si>
    <t>WPU</t>
  </si>
  <si>
    <t>pultuski</t>
  </si>
  <si>
    <t>Pultusk</t>
  </si>
  <si>
    <t>ZPY</t>
  </si>
  <si>
    <t>pyrzycki</t>
  </si>
  <si>
    <t>Pyrzyce</t>
  </si>
  <si>
    <t>SRC</t>
  </si>
  <si>
    <t>raciborski</t>
  </si>
  <si>
    <t>Raciborz</t>
  </si>
  <si>
    <t>WR</t>
  </si>
  <si>
    <t>Radom</t>
  </si>
  <si>
    <t>WRA</t>
  </si>
  <si>
    <t>radomski</t>
  </si>
  <si>
    <t>ERA</t>
  </si>
  <si>
    <t>radomszczanski</t>
  </si>
  <si>
    <t>Radomsko</t>
  </si>
  <si>
    <t>CRA</t>
  </si>
  <si>
    <t>radziejowski</t>
  </si>
  <si>
    <t>Radziejow</t>
  </si>
  <si>
    <t>LRA</t>
  </si>
  <si>
    <t>radzynski</t>
  </si>
  <si>
    <t>Radzyn Podlaski</t>
  </si>
  <si>
    <t>PRA</t>
  </si>
  <si>
    <t>rawicki</t>
  </si>
  <si>
    <t>Rawicz</t>
  </si>
  <si>
    <t>ERW</t>
  </si>
  <si>
    <t>rawski</t>
  </si>
  <si>
    <t>Rawa Mazowiecka</t>
  </si>
  <si>
    <t>RRS</t>
  </si>
  <si>
    <t>ropczycko-sedziszowski</t>
  </si>
  <si>
    <t>Ropczyce</t>
  </si>
  <si>
    <t>SL</t>
  </si>
  <si>
    <t>Ruda Slaska</t>
  </si>
  <si>
    <t>SRS</t>
  </si>
  <si>
    <t>SRB</t>
  </si>
  <si>
    <t>rybnicki</t>
  </si>
  <si>
    <t>Rybnik</t>
  </si>
  <si>
    <t>SR</t>
  </si>
  <si>
    <t>LRY</t>
  </si>
  <si>
    <t>rycki</t>
  </si>
  <si>
    <t>Ryki</t>
  </si>
  <si>
    <t>CRY</t>
  </si>
  <si>
    <t>rypinski</t>
  </si>
  <si>
    <t>Rypin</t>
  </si>
  <si>
    <t>RZ</t>
  </si>
  <si>
    <t>Rzeszow</t>
  </si>
  <si>
    <t>RZE</t>
  </si>
  <si>
    <t>rzeszowski</t>
  </si>
  <si>
    <t>TSA</t>
  </si>
  <si>
    <t>sandomierski</t>
  </si>
  <si>
    <t>Sandomierz</t>
  </si>
  <si>
    <t>RSA</t>
  </si>
  <si>
    <t>sanocki</t>
  </si>
  <si>
    <t>Sanok</t>
  </si>
  <si>
    <t>BSE</t>
  </si>
  <si>
    <t>sejnenski</t>
  </si>
  <si>
    <t>Sejny</t>
  </si>
  <si>
    <t>CSE</t>
  </si>
  <si>
    <t>sepolenski</t>
  </si>
  <si>
    <t>Sepolno Krajenskie</t>
  </si>
  <si>
    <t>WS</t>
  </si>
  <si>
    <t>Siedlce</t>
  </si>
  <si>
    <t>WSI</t>
  </si>
  <si>
    <t>siedlecki</t>
  </si>
  <si>
    <t>SI</t>
  </si>
  <si>
    <t>Siemianowice slaskie</t>
  </si>
  <si>
    <t>BSI</t>
  </si>
  <si>
    <t>siemiatycki</t>
  </si>
  <si>
    <t>Siemiatycze</t>
  </si>
  <si>
    <t>ESI</t>
  </si>
  <si>
    <t>sieradzki</t>
  </si>
  <si>
    <t>Sieradz</t>
  </si>
  <si>
    <t>WSE</t>
  </si>
  <si>
    <t>sierpecki</t>
  </si>
  <si>
    <t>Sierpc</t>
  </si>
  <si>
    <t>TSK</t>
  </si>
  <si>
    <t>skarzyski</t>
  </si>
  <si>
    <t>Skarzysko-Kamienna</t>
  </si>
  <si>
    <t>ES</t>
  </si>
  <si>
    <t>Skierniewice</t>
  </si>
  <si>
    <t>ESK</t>
  </si>
  <si>
    <t>skierniewicki</t>
  </si>
  <si>
    <t>ZSL</t>
  </si>
  <si>
    <t>slawienski</t>
  </si>
  <si>
    <t>Slawno</t>
  </si>
  <si>
    <t>FSL</t>
  </si>
  <si>
    <t>slubicki</t>
  </si>
  <si>
    <t>Slubice</t>
  </si>
  <si>
    <t>PSL</t>
  </si>
  <si>
    <t>slupecki</t>
  </si>
  <si>
    <t>Slupca</t>
  </si>
  <si>
    <t>GS</t>
  </si>
  <si>
    <t>Slupsk</t>
  </si>
  <si>
    <t>GSL</t>
  </si>
  <si>
    <t>slupski</t>
  </si>
  <si>
    <t>WSC</t>
  </si>
  <si>
    <t>sochaczewski</t>
  </si>
  <si>
    <t>Sochaczew</t>
  </si>
  <si>
    <t>WSK</t>
  </si>
  <si>
    <t>sokolowski</t>
  </si>
  <si>
    <t>Sokolow Podlaski</t>
  </si>
  <si>
    <t>BSK</t>
  </si>
  <si>
    <t>sokolski</t>
  </si>
  <si>
    <t>Sokolka</t>
  </si>
  <si>
    <t>GSP</t>
  </si>
  <si>
    <t>Sopot</t>
  </si>
  <si>
    <t>SO</t>
  </si>
  <si>
    <t>Sosnowiec</t>
  </si>
  <si>
    <t>DSR</t>
  </si>
  <si>
    <t>sredzki</t>
  </si>
  <si>
    <t>Sroda Slaska</t>
  </si>
  <si>
    <t>PSR</t>
  </si>
  <si>
    <t>Sroda Wielkopolska</t>
  </si>
  <si>
    <t>PSE</t>
  </si>
  <si>
    <t>sremski</t>
  </si>
  <si>
    <t>srem</t>
  </si>
  <si>
    <t>RST</t>
  </si>
  <si>
    <t>stalowowolski</t>
  </si>
  <si>
    <t>Stalowa Wola</t>
  </si>
  <si>
    <t>TST</t>
  </si>
  <si>
    <t>starachowicki</t>
  </si>
  <si>
    <t>Starachowice</t>
  </si>
  <si>
    <t>ZST</t>
  </si>
  <si>
    <t>stargardzki</t>
  </si>
  <si>
    <t>Stargard Szczecinski</t>
  </si>
  <si>
    <t>GST</t>
  </si>
  <si>
    <t>starogardzki</t>
  </si>
  <si>
    <t>Starogard Gdanski</t>
  </si>
  <si>
    <t>TSZ</t>
  </si>
  <si>
    <t>staszowski</t>
  </si>
  <si>
    <t>Staszow</t>
  </si>
  <si>
    <t>OST</t>
  </si>
  <si>
    <t>strzelecki</t>
  </si>
  <si>
    <t>Strzelce Opolskie</t>
  </si>
  <si>
    <t>FSD</t>
  </si>
  <si>
    <t>strzelecko-drezdenecki</t>
  </si>
  <si>
    <t>Strzelce Krajenskie</t>
  </si>
  <si>
    <t>DST</t>
  </si>
  <si>
    <t>strzelinski</t>
  </si>
  <si>
    <t>Strzelin</t>
  </si>
  <si>
    <t>RSR</t>
  </si>
  <si>
    <t>strzyzowski</t>
  </si>
  <si>
    <t>Strzyzow</t>
  </si>
  <si>
    <t>FSU</t>
  </si>
  <si>
    <t>sulecinski</t>
  </si>
  <si>
    <t>Sulecin</t>
  </si>
  <si>
    <t>KSU</t>
  </si>
  <si>
    <t>suski</t>
  </si>
  <si>
    <t>Sucha Beskidzka</t>
  </si>
  <si>
    <t>BS</t>
  </si>
  <si>
    <t>Suwalki</t>
  </si>
  <si>
    <t>BSU</t>
  </si>
  <si>
    <t>suwalski</t>
  </si>
  <si>
    <t>DSW</t>
  </si>
  <si>
    <t>swidnicki</t>
  </si>
  <si>
    <t>Swidnica</t>
  </si>
  <si>
    <t>LSW</t>
  </si>
  <si>
    <t>Swidnik</t>
  </si>
  <si>
    <t>ZSD</t>
  </si>
  <si>
    <t>swidwinski</t>
  </si>
  <si>
    <t>Swidwin</t>
  </si>
  <si>
    <t>FSW</t>
  </si>
  <si>
    <t>swiebodzinski</t>
  </si>
  <si>
    <t>Swiebodzin</t>
  </si>
  <si>
    <t>CSW</t>
  </si>
  <si>
    <t>swiecki</t>
  </si>
  <si>
    <t>Swiecie</t>
  </si>
  <si>
    <t>SW</t>
  </si>
  <si>
    <t>swietochlowice</t>
  </si>
  <si>
    <t>Swietochlowice</t>
  </si>
  <si>
    <t>ZSW</t>
  </si>
  <si>
    <t>Swinoujscie</t>
  </si>
  <si>
    <t>PSZ</t>
  </si>
  <si>
    <t>szamotulski</t>
  </si>
  <si>
    <t>Szamotuly</t>
  </si>
  <si>
    <t>ZS</t>
  </si>
  <si>
    <t>Szczecin</t>
  </si>
  <si>
    <t>ZSZ</t>
  </si>
  <si>
    <t>szczecinecki</t>
  </si>
  <si>
    <t>Szczecinek</t>
  </si>
  <si>
    <t>NSZ</t>
  </si>
  <si>
    <t>szczycienski</t>
  </si>
  <si>
    <t>Szczytno</t>
  </si>
  <si>
    <t>GSZ</t>
  </si>
  <si>
    <t>sztumski</t>
  </si>
  <si>
    <t>Sztum</t>
  </si>
  <si>
    <t>WSZ</t>
  </si>
  <si>
    <t>szydlowiecki</t>
  </si>
  <si>
    <t>Szydlowiec</t>
  </si>
  <si>
    <t>RT</t>
  </si>
  <si>
    <t>Tarnobrzeg</t>
  </si>
  <si>
    <t>RTA</t>
  </si>
  <si>
    <t>tarnobrzeski</t>
  </si>
  <si>
    <t>STA</t>
  </si>
  <si>
    <t>tarnogorski</t>
  </si>
  <si>
    <t>Tarnowskie Gory</t>
  </si>
  <si>
    <t>KT</t>
  </si>
  <si>
    <t>Tarnow</t>
  </si>
  <si>
    <t>KTA</t>
  </si>
  <si>
    <t>tarnowski</t>
  </si>
  <si>
    <t>KTT</t>
  </si>
  <si>
    <t>tatrzanski</t>
  </si>
  <si>
    <t>Zakopane</t>
  </si>
  <si>
    <t>GTC</t>
  </si>
  <si>
    <t>tczewski</t>
  </si>
  <si>
    <t>Tczew</t>
  </si>
  <si>
    <t>LTM</t>
  </si>
  <si>
    <t>tomaszowski</t>
  </si>
  <si>
    <t>Tomaszow Lubelski</t>
  </si>
  <si>
    <t>ETM</t>
  </si>
  <si>
    <t>Tomaszow Mazowiecki</t>
  </si>
  <si>
    <t>CT</t>
  </si>
  <si>
    <t>Torun</t>
  </si>
  <si>
    <t>CTR</t>
  </si>
  <si>
    <t>torunski</t>
  </si>
  <si>
    <t>DTR</t>
  </si>
  <si>
    <t>trzebnicki</t>
  </si>
  <si>
    <t>Trzebnica</t>
  </si>
  <si>
    <t>CTU</t>
  </si>
  <si>
    <t>tucholski</t>
  </si>
  <si>
    <t>Tuchola</t>
  </si>
  <si>
    <t>PTU</t>
  </si>
  <si>
    <t>turecki</t>
  </si>
  <si>
    <t>Turek</t>
  </si>
  <si>
    <t>ST</t>
  </si>
  <si>
    <t>Tychy</t>
  </si>
  <si>
    <t>STY</t>
  </si>
  <si>
    <t>tyski</t>
  </si>
  <si>
    <t>CWA</t>
  </si>
  <si>
    <t>wabrzeski</t>
  </si>
  <si>
    <t>Wabrzezno</t>
  </si>
  <si>
    <t>KWA</t>
  </si>
  <si>
    <t>wadowicki</t>
  </si>
  <si>
    <t>Wadowice</t>
  </si>
  <si>
    <t>PWA</t>
  </si>
  <si>
    <t>wagrowiecki</t>
  </si>
  <si>
    <t>Wagrowiec</t>
  </si>
  <si>
    <t>DB</t>
  </si>
  <si>
    <t>Walbrzych</t>
  </si>
  <si>
    <t>DBA</t>
  </si>
  <si>
    <t>walbrzyski</t>
  </si>
  <si>
    <t>ZWA</t>
  </si>
  <si>
    <t>walecki</t>
  </si>
  <si>
    <t>Walcz</t>
  </si>
  <si>
    <t>WB</t>
  </si>
  <si>
    <t>Warszawa</t>
  </si>
  <si>
    <t>Bemowo</t>
  </si>
  <si>
    <t>s</t>
  </si>
  <si>
    <t>WA</t>
  </si>
  <si>
    <t>Bialoleka</t>
  </si>
  <si>
    <t>WD</t>
  </si>
  <si>
    <t>Bielany</t>
  </si>
  <si>
    <t>WE</t>
  </si>
  <si>
    <t>Mokotow</t>
  </si>
  <si>
    <t>WU</t>
  </si>
  <si>
    <t>Ochota</t>
  </si>
  <si>
    <t>WH</t>
  </si>
  <si>
    <t>Praga Polnoc</t>
  </si>
  <si>
    <t>WF</t>
  </si>
  <si>
    <t>Praga Poludnie</t>
  </si>
  <si>
    <t>WI</t>
  </si>
  <si>
    <t>Srodmiescie</t>
  </si>
  <si>
    <t>WJ</t>
  </si>
  <si>
    <t>Targowek</t>
  </si>
  <si>
    <t>WK</t>
  </si>
  <si>
    <t>Ursus</t>
  </si>
  <si>
    <t>WN</t>
  </si>
  <si>
    <t>Ursynow</t>
  </si>
  <si>
    <t>WT</t>
  </si>
  <si>
    <t>Wawer</t>
  </si>
  <si>
    <t>WX...y</t>
  </si>
  <si>
    <t>Wesola</t>
  </si>
  <si>
    <t>WW...G</t>
  </si>
  <si>
    <t>Wilanow</t>
  </si>
  <si>
    <t>WW...H</t>
  </si>
  <si>
    <t>WW...J</t>
  </si>
  <si>
    <t>WW...W</t>
  </si>
  <si>
    <t>WW...L</t>
  </si>
  <si>
    <t>Wlochy</t>
  </si>
  <si>
    <t>WW...M</t>
  </si>
  <si>
    <t>WW...N</t>
  </si>
  <si>
    <t>WW...R</t>
  </si>
  <si>
    <t>WW...S</t>
  </si>
  <si>
    <t>WW...U</t>
  </si>
  <si>
    <t>WW...V</t>
  </si>
  <si>
    <t>WY</t>
  </si>
  <si>
    <t>Wola</t>
  </si>
  <si>
    <t>WX</t>
  </si>
  <si>
    <t>Zoliborz</t>
  </si>
  <si>
    <t>WZ</t>
  </si>
  <si>
    <t>warszawski zachodni</t>
  </si>
  <si>
    <t>Ozarow Mazowiecki</t>
  </si>
  <si>
    <t>NWE</t>
  </si>
  <si>
    <t>wegorzewski</t>
  </si>
  <si>
    <t>Wegorzewo</t>
  </si>
  <si>
    <t>WWE</t>
  </si>
  <si>
    <t>wegrowski</t>
  </si>
  <si>
    <t>Wegrow</t>
  </si>
  <si>
    <t>GWE</t>
  </si>
  <si>
    <t>wejherowski</t>
  </si>
  <si>
    <t>Wejherowo</t>
  </si>
  <si>
    <t>KWI</t>
  </si>
  <si>
    <t>wielicki</t>
  </si>
  <si>
    <t>Wieliczka</t>
  </si>
  <si>
    <t>EWI</t>
  </si>
  <si>
    <t>wielunski</t>
  </si>
  <si>
    <t>Wielun</t>
  </si>
  <si>
    <t>EWE</t>
  </si>
  <si>
    <t>wieruszowski</t>
  </si>
  <si>
    <t>Wieruszow</t>
  </si>
  <si>
    <t>CW</t>
  </si>
  <si>
    <t>Wloclawek</t>
  </si>
  <si>
    <t>CWL</t>
  </si>
  <si>
    <t>wloclawski</t>
  </si>
  <si>
    <t>LWL</t>
  </si>
  <si>
    <t>wlodawski</t>
  </si>
  <si>
    <t>Wlodawa</t>
  </si>
  <si>
    <t>TLW</t>
  </si>
  <si>
    <t>wloszczowski</t>
  </si>
  <si>
    <t>Wloszczowa</t>
  </si>
  <si>
    <t>SWD</t>
  </si>
  <si>
    <t>wodzislawski</t>
  </si>
  <si>
    <t>Wodzislaw slaski</t>
  </si>
  <si>
    <t>WWL</t>
  </si>
  <si>
    <t>wolominski</t>
  </si>
  <si>
    <t>Wolomin</t>
  </si>
  <si>
    <t>DWL</t>
  </si>
  <si>
    <t>wolowski</t>
  </si>
  <si>
    <t>Wolow</t>
  </si>
  <si>
    <t>PWL</t>
  </si>
  <si>
    <t>wolsztynski</t>
  </si>
  <si>
    <t>Wolsztyn</t>
  </si>
  <si>
    <t>DW</t>
  </si>
  <si>
    <t>Wroclaw</t>
  </si>
  <si>
    <t>DWR</t>
  </si>
  <si>
    <t>wroclawski</t>
  </si>
  <si>
    <t>PWR</t>
  </si>
  <si>
    <t>wrzesinski</t>
  </si>
  <si>
    <t>Wrzesnia</t>
  </si>
  <si>
    <t>FWS</t>
  </si>
  <si>
    <t>wschowski</t>
  </si>
  <si>
    <t>Wschowa</t>
  </si>
  <si>
    <t>BWM</t>
  </si>
  <si>
    <t>wysokomazowiecki</t>
  </si>
  <si>
    <t>Wysokie Mazowieckie</t>
  </si>
  <si>
    <t>WWY</t>
  </si>
  <si>
    <t>wyszkowski</t>
  </si>
  <si>
    <t>Wyszkow</t>
  </si>
  <si>
    <t>DZA</t>
  </si>
  <si>
    <t>zabkowicki</t>
  </si>
  <si>
    <t>Zabkowice Slaskie</t>
  </si>
  <si>
    <t>SZ</t>
  </si>
  <si>
    <t>Zabrze</t>
  </si>
  <si>
    <t>FZG</t>
  </si>
  <si>
    <t>zaganski</t>
  </si>
  <si>
    <t>Zagan</t>
  </si>
  <si>
    <t>BZA</t>
  </si>
  <si>
    <t>zambrowski</t>
  </si>
  <si>
    <t>Zambrow</t>
  </si>
  <si>
    <t>LZA</t>
  </si>
  <si>
    <t>zamojski</t>
  </si>
  <si>
    <t>Zamosc</t>
  </si>
  <si>
    <t>LZ</t>
  </si>
  <si>
    <t>FZA</t>
  </si>
  <si>
    <t>zarski</t>
  </si>
  <si>
    <t>Zary</t>
  </si>
  <si>
    <t>SZA</t>
  </si>
  <si>
    <t>zawiercianski</t>
  </si>
  <si>
    <t>Zawiercie</t>
  </si>
  <si>
    <t>EZD</t>
  </si>
  <si>
    <t>zdunskowolski</t>
  </si>
  <si>
    <t>Zdunska Wola</t>
  </si>
  <si>
    <t>EZG</t>
  </si>
  <si>
    <t>zgierski</t>
  </si>
  <si>
    <t>Zgierz</t>
  </si>
  <si>
    <t>DZG</t>
  </si>
  <si>
    <t>zgorzelecki</t>
  </si>
  <si>
    <t>Zgorzelec</t>
  </si>
  <si>
    <t>FZ</t>
  </si>
  <si>
    <t>Zielona Gora</t>
  </si>
  <si>
    <t>FZI</t>
  </si>
  <si>
    <t>zielonogorski</t>
  </si>
  <si>
    <t>DZL</t>
  </si>
  <si>
    <t>zlotoryjski</t>
  </si>
  <si>
    <t>Zlotoryja</t>
  </si>
  <si>
    <t>PZL</t>
  </si>
  <si>
    <t>zlotowski</t>
  </si>
  <si>
    <t>Zlotow</t>
  </si>
  <si>
    <t>CZN</t>
  </si>
  <si>
    <t>zninski</t>
  </si>
  <si>
    <t>Znin</t>
  </si>
  <si>
    <t>SZO</t>
  </si>
  <si>
    <t>Zory</t>
  </si>
  <si>
    <t>WZU</t>
  </si>
  <si>
    <t>zurominski</t>
  </si>
  <si>
    <t>Zuromin</t>
  </si>
  <si>
    <t>WZW</t>
  </si>
  <si>
    <t>zwolenski</t>
  </si>
  <si>
    <t>Zwolen</t>
  </si>
  <si>
    <t>WZY</t>
  </si>
  <si>
    <t>zyrardowski</t>
  </si>
  <si>
    <t>Zyrardow</t>
  </si>
  <si>
    <t>SZY</t>
  </si>
  <si>
    <t>zywiecki</t>
  </si>
  <si>
    <t>Zywiec</t>
  </si>
  <si>
    <t>NIP</t>
  </si>
  <si>
    <t>nr</t>
  </si>
  <si>
    <t>rodzaj_uslugi</t>
  </si>
  <si>
    <t>rata</t>
  </si>
  <si>
    <t>323W</t>
  </si>
  <si>
    <t>L</t>
  </si>
  <si>
    <t>16794</t>
  </si>
  <si>
    <t>LL545</t>
  </si>
  <si>
    <t>L584</t>
  </si>
  <si>
    <t>6R13</t>
  </si>
  <si>
    <t>U48HH</t>
  </si>
  <si>
    <t>W</t>
  </si>
  <si>
    <t>468L</t>
  </si>
  <si>
    <t>TE554</t>
  </si>
  <si>
    <t>O586</t>
  </si>
  <si>
    <t>Z67OX</t>
  </si>
  <si>
    <t>CD551</t>
  </si>
  <si>
    <t>1234</t>
  </si>
  <si>
    <t>G38FY</t>
  </si>
  <si>
    <t>Z99ZO</t>
  </si>
  <si>
    <t>16852</t>
  </si>
  <si>
    <t>23815</t>
  </si>
  <si>
    <t>545S</t>
  </si>
  <si>
    <t>92NR</t>
  </si>
  <si>
    <t>Q624</t>
  </si>
  <si>
    <t>257G</t>
  </si>
  <si>
    <t>O60RV</t>
  </si>
  <si>
    <t>F718</t>
  </si>
  <si>
    <t>SA138</t>
  </si>
  <si>
    <t>16886</t>
  </si>
  <si>
    <t>557F</t>
  </si>
  <si>
    <t>D662</t>
  </si>
  <si>
    <t>55355</t>
  </si>
  <si>
    <t>E93DN</t>
  </si>
  <si>
    <t>56466</t>
  </si>
  <si>
    <t>7895G</t>
  </si>
  <si>
    <t>16832</t>
  </si>
  <si>
    <t>28920</t>
  </si>
  <si>
    <t>90HD</t>
  </si>
  <si>
    <t>R672</t>
  </si>
  <si>
    <t>23411</t>
  </si>
  <si>
    <t>RF346</t>
  </si>
  <si>
    <t>54PX</t>
  </si>
  <si>
    <t>16838</t>
  </si>
  <si>
    <t>69798</t>
  </si>
  <si>
    <t>M52XG</t>
  </si>
  <si>
    <t>RJ349</t>
  </si>
  <si>
    <t>34568</t>
  </si>
  <si>
    <t>E630</t>
  </si>
  <si>
    <t>7D14</t>
  </si>
  <si>
    <t>55CS</t>
  </si>
  <si>
    <t>S12EM</t>
  </si>
  <si>
    <t>3841A</t>
  </si>
  <si>
    <t>16880</t>
  </si>
  <si>
    <t>3921Q</t>
  </si>
  <si>
    <t>24678</t>
  </si>
  <si>
    <t>83130</t>
  </si>
  <si>
    <t>C568</t>
  </si>
  <si>
    <t>WM236</t>
  </si>
  <si>
    <t>16782</t>
  </si>
  <si>
    <t>S98QG</t>
  </si>
  <si>
    <t>3344T</t>
  </si>
  <si>
    <t>L690</t>
  </si>
  <si>
    <t>74242</t>
  </si>
  <si>
    <t>RG347</t>
  </si>
  <si>
    <t>N89WP</t>
  </si>
  <si>
    <t>Z78PZ</t>
  </si>
  <si>
    <t>1245</t>
  </si>
  <si>
    <t>512R</t>
  </si>
  <si>
    <t>16784</t>
  </si>
  <si>
    <t>LG353</t>
  </si>
  <si>
    <t>52YS</t>
  </si>
  <si>
    <t>RM754</t>
  </si>
  <si>
    <t>WD234</t>
  </si>
  <si>
    <t>490N</t>
  </si>
  <si>
    <t>L67AK</t>
  </si>
  <si>
    <t>25082</t>
  </si>
  <si>
    <t>49800</t>
  </si>
  <si>
    <t>57577</t>
  </si>
  <si>
    <t>RM745</t>
  </si>
  <si>
    <t>7893E</t>
  </si>
  <si>
    <t>N90SL</t>
  </si>
  <si>
    <t>24072</t>
  </si>
  <si>
    <t>14UV</t>
  </si>
  <si>
    <t>P48WY</t>
  </si>
  <si>
    <t>S23TN</t>
  </si>
  <si>
    <t>25284</t>
  </si>
  <si>
    <t>56KC</t>
  </si>
  <si>
    <t>Y32DP</t>
  </si>
  <si>
    <t>C632</t>
  </si>
  <si>
    <t>4111S</t>
  </si>
  <si>
    <t>34570</t>
  </si>
  <si>
    <t>301J</t>
  </si>
  <si>
    <t>Q564</t>
  </si>
  <si>
    <t>279H</t>
  </si>
  <si>
    <t>3941D</t>
  </si>
  <si>
    <t>27304</t>
  </si>
  <si>
    <t>RD345</t>
  </si>
  <si>
    <t>4356G</t>
  </si>
  <si>
    <t>16836</t>
  </si>
  <si>
    <t>3851Q</t>
  </si>
  <si>
    <t>24880</t>
  </si>
  <si>
    <t>LF354</t>
  </si>
  <si>
    <t>26294</t>
  </si>
  <si>
    <t>O68AY</t>
  </si>
  <si>
    <t>V720</t>
  </si>
  <si>
    <t>RL351</t>
  </si>
  <si>
    <t>CS552</t>
  </si>
  <si>
    <t>16892</t>
  </si>
  <si>
    <t>65ED</t>
  </si>
  <si>
    <t>7897N</t>
  </si>
  <si>
    <t>T606</t>
  </si>
  <si>
    <t>M54EB</t>
  </si>
  <si>
    <t>3871D</t>
  </si>
  <si>
    <t>579W</t>
  </si>
  <si>
    <t>61XF</t>
  </si>
  <si>
    <t>26092</t>
  </si>
  <si>
    <t>A44GU</t>
  </si>
  <si>
    <t>16842</t>
  </si>
  <si>
    <t>64243</t>
  </si>
  <si>
    <t>16906</t>
  </si>
  <si>
    <t>556V</t>
  </si>
  <si>
    <t>246F</t>
  </si>
  <si>
    <t>R79LM</t>
  </si>
  <si>
    <t>48689</t>
  </si>
  <si>
    <t>34572</t>
  </si>
  <si>
    <t>G712</t>
  </si>
  <si>
    <t>57SX</t>
  </si>
  <si>
    <t>4101U</t>
  </si>
  <si>
    <t>45356</t>
  </si>
  <si>
    <t>27LS</t>
  </si>
  <si>
    <t>3931S</t>
  </si>
  <si>
    <t>28314</t>
  </si>
  <si>
    <t>RK350</t>
  </si>
  <si>
    <t>86463</t>
  </si>
  <si>
    <t>3581R</t>
  </si>
  <si>
    <t>S566</t>
  </si>
  <si>
    <t>16904</t>
  </si>
  <si>
    <t>356J</t>
  </si>
  <si>
    <t>LD355</t>
  </si>
  <si>
    <t>Y30EJ</t>
  </si>
  <si>
    <t>3571C</t>
  </si>
  <si>
    <t>367J</t>
  </si>
  <si>
    <t>L74SB</t>
  </si>
  <si>
    <t>A682</t>
  </si>
  <si>
    <t>16896</t>
  </si>
  <si>
    <t>PK128</t>
  </si>
  <si>
    <t>16788</t>
  </si>
  <si>
    <t>3901W</t>
  </si>
  <si>
    <t>16792</t>
  </si>
  <si>
    <t>3891T</t>
  </si>
  <si>
    <t>LR356</t>
  </si>
  <si>
    <t>16830</t>
  </si>
  <si>
    <t>59799</t>
  </si>
  <si>
    <t>34566</t>
  </si>
  <si>
    <t>28112</t>
  </si>
  <si>
    <t>F628</t>
  </si>
  <si>
    <t>501V</t>
  </si>
  <si>
    <t>16894</t>
  </si>
  <si>
    <t>O62FG</t>
  </si>
  <si>
    <t>H724</t>
  </si>
  <si>
    <t>W570</t>
  </si>
  <si>
    <t>A38DW</t>
  </si>
  <si>
    <t>R78KN</t>
  </si>
  <si>
    <t>24274</t>
  </si>
  <si>
    <t>16900</t>
  </si>
  <si>
    <t>D684</t>
  </si>
  <si>
    <t>27708</t>
  </si>
  <si>
    <t>L668</t>
  </si>
  <si>
    <t>479M</t>
  </si>
  <si>
    <t>P588</t>
  </si>
  <si>
    <t>N91XU</t>
  </si>
  <si>
    <t>L678</t>
  </si>
  <si>
    <t>34574</t>
  </si>
  <si>
    <t>87574</t>
  </si>
  <si>
    <t>3561B</t>
  </si>
  <si>
    <t>60910</t>
  </si>
  <si>
    <t>N574</t>
  </si>
  <si>
    <t>65354</t>
  </si>
  <si>
    <t>E95RH</t>
  </si>
  <si>
    <t>16902</t>
  </si>
  <si>
    <t>S706</t>
  </si>
  <si>
    <t>3631H</t>
  </si>
  <si>
    <t>94MD</t>
  </si>
  <si>
    <t>34576</t>
  </si>
  <si>
    <t>76464</t>
  </si>
  <si>
    <t>27102</t>
  </si>
  <si>
    <t>80908</t>
  </si>
  <si>
    <t>25JE</t>
  </si>
  <si>
    <t>G40VV</t>
  </si>
  <si>
    <t>28718</t>
  </si>
  <si>
    <t>45333</t>
  </si>
  <si>
    <t>O54JT</t>
  </si>
  <si>
    <t>82019</t>
  </si>
  <si>
    <t>6C31</t>
  </si>
  <si>
    <t>JJ547</t>
  </si>
  <si>
    <t>PP132</t>
  </si>
  <si>
    <t>V638</t>
  </si>
  <si>
    <t>RH348</t>
  </si>
  <si>
    <t>16LG</t>
  </si>
  <si>
    <t>3881E</t>
  </si>
  <si>
    <t>97AK</t>
  </si>
  <si>
    <t>16798</t>
  </si>
  <si>
    <t>K674</t>
  </si>
  <si>
    <t>SB135</t>
  </si>
  <si>
    <t>3831W</t>
  </si>
  <si>
    <t>26698</t>
  </si>
  <si>
    <t>7901K</t>
  </si>
  <si>
    <t>U676</t>
  </si>
  <si>
    <t>P44AB</t>
  </si>
  <si>
    <t>23613</t>
  </si>
  <si>
    <t>O64VB</t>
  </si>
  <si>
    <t>PL129</t>
  </si>
  <si>
    <t>3621I</t>
  </si>
  <si>
    <t>N650</t>
  </si>
  <si>
    <t>S34YB</t>
  </si>
  <si>
    <t>Z620</t>
  </si>
  <si>
    <t>Y28XU</t>
  </si>
  <si>
    <t>47578</t>
  </si>
  <si>
    <t>16834</t>
  </si>
  <si>
    <t>16844</t>
  </si>
  <si>
    <t>1267</t>
  </si>
  <si>
    <t>16882</t>
  </si>
  <si>
    <t>25688</t>
  </si>
  <si>
    <t>J666</t>
  </si>
  <si>
    <t>52022</t>
  </si>
  <si>
    <t>94RF</t>
  </si>
  <si>
    <t>A40FT</t>
  </si>
  <si>
    <t>B596</t>
  </si>
  <si>
    <t>PW131</t>
  </si>
  <si>
    <t>SX136</t>
  </si>
  <si>
    <t>16822</t>
  </si>
  <si>
    <t>I594</t>
  </si>
  <si>
    <t>U50HG</t>
  </si>
  <si>
    <t>3951A</t>
  </si>
  <si>
    <t>54244</t>
  </si>
  <si>
    <t>H592</t>
  </si>
  <si>
    <t>3861S</t>
  </si>
  <si>
    <t>X626</t>
  </si>
  <si>
    <t>18IT</t>
  </si>
  <si>
    <t>WS237</t>
  </si>
  <si>
    <t>16796</t>
  </si>
  <si>
    <t>73131</t>
  </si>
  <si>
    <t>16846</t>
  </si>
  <si>
    <t>345G</t>
  </si>
  <si>
    <t>78686</t>
  </si>
  <si>
    <t>77575</t>
  </si>
  <si>
    <t>EU125</t>
  </si>
  <si>
    <t>16888</t>
  </si>
  <si>
    <t>S97VV</t>
  </si>
  <si>
    <t>62021</t>
  </si>
  <si>
    <t>50911</t>
  </si>
  <si>
    <t>D622</t>
  </si>
  <si>
    <t>16780</t>
  </si>
  <si>
    <t>Y26SL</t>
  </si>
  <si>
    <t>75353</t>
  </si>
  <si>
    <t>68687</t>
  </si>
  <si>
    <t>523S</t>
  </si>
  <si>
    <t>J688</t>
  </si>
  <si>
    <t>3651R</t>
  </si>
  <si>
    <t>G664</t>
  </si>
  <si>
    <t>84241</t>
  </si>
  <si>
    <t>85352</t>
  </si>
  <si>
    <t>V602</t>
  </si>
  <si>
    <t>16790</t>
  </si>
  <si>
    <t>ET124</t>
  </si>
  <si>
    <t>567K</t>
  </si>
  <si>
    <t>63132</t>
  </si>
  <si>
    <t>EU126</t>
  </si>
  <si>
    <t>66465</t>
  </si>
  <si>
    <t>S45UV</t>
  </si>
  <si>
    <t>E94CB</t>
  </si>
  <si>
    <t>SD137</t>
  </si>
  <si>
    <t>R80LN</t>
  </si>
  <si>
    <t>G36RH</t>
  </si>
  <si>
    <t>99KC</t>
  </si>
  <si>
    <t>378G</t>
  </si>
  <si>
    <t>1278</t>
  </si>
  <si>
    <t>T600</t>
  </si>
  <si>
    <t>63AR</t>
  </si>
  <si>
    <t>53133</t>
  </si>
  <si>
    <t>I680</t>
  </si>
  <si>
    <t>M590</t>
  </si>
  <si>
    <t>5F12</t>
  </si>
  <si>
    <t>F572</t>
  </si>
  <si>
    <t>J742</t>
  </si>
  <si>
    <t>A42FY</t>
  </si>
  <si>
    <t>27910</t>
  </si>
  <si>
    <t>79797</t>
  </si>
  <si>
    <t>601H</t>
  </si>
  <si>
    <t>U728</t>
  </si>
  <si>
    <t>23870</t>
  </si>
  <si>
    <t>268H</t>
  </si>
  <si>
    <t>WB235</t>
  </si>
  <si>
    <t>O58CY</t>
  </si>
  <si>
    <t>L72WG</t>
  </si>
  <si>
    <t>16828</t>
  </si>
  <si>
    <t>334F</t>
  </si>
  <si>
    <t>25890</t>
  </si>
  <si>
    <t>3601Y</t>
  </si>
  <si>
    <t>3641B</t>
  </si>
  <si>
    <t>16848</t>
  </si>
  <si>
    <t>67576</t>
  </si>
  <si>
    <t>72020</t>
  </si>
  <si>
    <t>D604</t>
  </si>
  <si>
    <t>Y726</t>
  </si>
  <si>
    <t>Y648</t>
  </si>
  <si>
    <t>PR133</t>
  </si>
  <si>
    <t>28516</t>
  </si>
  <si>
    <t>16850</t>
  </si>
  <si>
    <t>JG549</t>
  </si>
  <si>
    <t>290G</t>
  </si>
  <si>
    <t>312W</t>
  </si>
  <si>
    <t>O66QH</t>
  </si>
  <si>
    <t>26496</t>
  </si>
  <si>
    <t>R714</t>
  </si>
  <si>
    <t>56456</t>
  </si>
  <si>
    <t>16884</t>
  </si>
  <si>
    <t>I740</t>
  </si>
  <si>
    <t>T642</t>
  </si>
  <si>
    <t>K34AW</t>
  </si>
  <si>
    <t>PS130</t>
  </si>
  <si>
    <t>1289</t>
  </si>
  <si>
    <t>23668</t>
  </si>
  <si>
    <t>20AF</t>
  </si>
  <si>
    <t>4121F</t>
  </si>
  <si>
    <t>L45QM</t>
  </si>
  <si>
    <t>H640</t>
  </si>
  <si>
    <t>JH548</t>
  </si>
  <si>
    <t>534U</t>
  </si>
  <si>
    <t>G634</t>
  </si>
  <si>
    <t>7891Q</t>
  </si>
  <si>
    <t>3591T</t>
  </si>
  <si>
    <t>3661T</t>
  </si>
  <si>
    <t>7899B</t>
  </si>
  <si>
    <t>457K</t>
  </si>
  <si>
    <t>P46ZH</t>
  </si>
  <si>
    <t>X708</t>
  </si>
  <si>
    <t>16826</t>
  </si>
  <si>
    <t>46467</t>
  </si>
  <si>
    <t>16824</t>
  </si>
  <si>
    <t>J646</t>
  </si>
  <si>
    <t>O750</t>
  </si>
  <si>
    <t>firma</t>
  </si>
  <si>
    <t>ELINK</t>
  </si>
  <si>
    <t>ZONAN</t>
  </si>
  <si>
    <t>SENIN</t>
  </si>
  <si>
    <t>SZAMOT</t>
  </si>
  <si>
    <t>OSTOPOL</t>
  </si>
  <si>
    <t>KERN</t>
  </si>
  <si>
    <t>ZABER</t>
  </si>
  <si>
    <t>SUWAL</t>
  </si>
  <si>
    <t>OBOR</t>
  </si>
  <si>
    <t>WROCBUD4</t>
  </si>
  <si>
    <t>LUBLIN1</t>
  </si>
  <si>
    <t>NOTOM</t>
  </si>
  <si>
    <t>WRZESNIA1</t>
  </si>
  <si>
    <t>SZCZEBRZESZYN</t>
  </si>
  <si>
    <t>ZWIERZYNIEC</t>
  </si>
  <si>
    <t>BYTOM1</t>
  </si>
  <si>
    <t>TARNOR</t>
  </si>
  <si>
    <t>PIEKAR</t>
  </si>
  <si>
    <t>MIEDZYRZECZ</t>
  </si>
  <si>
    <t>SOSNEC</t>
  </si>
  <si>
    <t>LESZNO</t>
  </si>
  <si>
    <t>JELORA</t>
  </si>
  <si>
    <t>OLECKO</t>
  </si>
  <si>
    <t>TRZEBNICA</t>
  </si>
  <si>
    <t>WROCBUD1</t>
  </si>
  <si>
    <t>WROCBUD2</t>
  </si>
  <si>
    <t>WROCBUD3</t>
  </si>
  <si>
    <t>ZGORZELEC</t>
  </si>
  <si>
    <t>LUBLIN2</t>
  </si>
  <si>
    <t>OLSZTYN</t>
  </si>
  <si>
    <t>TARGOR</t>
  </si>
  <si>
    <t>BYTOM2</t>
  </si>
  <si>
    <t>WRZESNIA2</t>
  </si>
  <si>
    <t>LUBEX</t>
  </si>
  <si>
    <t>KONSBET</t>
  </si>
  <si>
    <t>REFAMUR</t>
  </si>
  <si>
    <t>KPICO</t>
  </si>
  <si>
    <t>METALL</t>
  </si>
  <si>
    <t>PETROLEUM</t>
  </si>
  <si>
    <t>BARTEX</t>
  </si>
  <si>
    <t>MURATOR</t>
  </si>
  <si>
    <t>FASO</t>
  </si>
  <si>
    <t>GAZPOL</t>
  </si>
  <si>
    <t>MAZUTEX</t>
  </si>
  <si>
    <t>KUSTMASZ</t>
  </si>
  <si>
    <t>BETON-STAL</t>
  </si>
  <si>
    <t>WARM S. A.</t>
  </si>
  <si>
    <t>RENOWATOR</t>
  </si>
  <si>
    <t>SZPULTEX</t>
  </si>
  <si>
    <t>WIET-IND</t>
  </si>
  <si>
    <t>BAZALT S. A.</t>
  </si>
  <si>
    <t>ANDROPOL SP. Z. O. O.</t>
  </si>
  <si>
    <t>FERMILAB</t>
  </si>
  <si>
    <t>NAFTO-GAZ</t>
  </si>
  <si>
    <t>TECH-MASZ</t>
  </si>
  <si>
    <t>ZACH-MET</t>
  </si>
  <si>
    <t>FAL-STAL</t>
  </si>
  <si>
    <t>JUSTPOL</t>
  </si>
  <si>
    <t>MASPOL</t>
  </si>
  <si>
    <t>WERTIX</t>
  </si>
  <si>
    <t>Etykiety wierszy</t>
  </si>
  <si>
    <t>Suma końcowa</t>
  </si>
  <si>
    <t>rodzaj usługi</t>
  </si>
  <si>
    <t>sumaryczna kwota</t>
  </si>
  <si>
    <t>Leasing</t>
  </si>
  <si>
    <t>Wynajem</t>
  </si>
  <si>
    <t>tablica_rejestracyjna</t>
  </si>
  <si>
    <t>czyFirmaBartex</t>
  </si>
  <si>
    <t>PN16822</t>
  </si>
  <si>
    <t>PN16824</t>
  </si>
  <si>
    <t>PN16826</t>
  </si>
  <si>
    <t>PN16828</t>
  </si>
  <si>
    <t>PN16830</t>
  </si>
  <si>
    <t>PN16832</t>
  </si>
  <si>
    <t>PN16834</t>
  </si>
  <si>
    <t>PN16836</t>
  </si>
  <si>
    <t>PN16838</t>
  </si>
  <si>
    <t>PN3621I</t>
  </si>
  <si>
    <t>PN3631H</t>
  </si>
  <si>
    <t>PN3641B</t>
  </si>
  <si>
    <t>PN3651R</t>
  </si>
  <si>
    <t>PN3661T</t>
  </si>
  <si>
    <t>(Wszystko)</t>
  </si>
  <si>
    <t>nazwa_firmy</t>
  </si>
  <si>
    <t>rejestracja</t>
  </si>
  <si>
    <t>NAZWA FIRMY</t>
  </si>
  <si>
    <t>Liczba leasingow</t>
  </si>
  <si>
    <t>czy_ziemski</t>
  </si>
  <si>
    <t>nazwy powiatów</t>
  </si>
  <si>
    <t>czyKonin</t>
  </si>
  <si>
    <t>Średnia z rata</t>
  </si>
  <si>
    <t>nazwa firmy</t>
  </si>
  <si>
    <t>Średnia 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</si>
</sst>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3" borderId="4" xfId="0" applyFont="1" applyFill="1" applyBorder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4" borderId="0" xfId="0" applyFill="1"/>
  </cellXfs>
  <cellStyles count="1">
    <cellStyle name="Normalny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94.704777893516" createdVersion="8" refreshedVersion="8" minRefreshableVersion="3" recordCount="337" xr:uid="{63A6E560-2F2D-4907-936C-D7128E3CE18D}">
  <cacheSource type="worksheet">
    <worksheetSource name="uslugi47"/>
  </cacheSource>
  <cacheFields count="5">
    <cacheField name="NIP" numFmtId="0">
      <sharedItems containsSemiMixedTypes="0" containsString="0" containsNumber="1" containsInteger="1" minValue="1127056356" maxValue="6758177505"/>
    </cacheField>
    <cacheField name="ozn" numFmtId="0">
      <sharedItems/>
    </cacheField>
    <cacheField name="nr" numFmtId="0">
      <sharedItems/>
    </cacheField>
    <cacheField name="rodzaj_uslugi" numFmtId="0">
      <sharedItems count="2">
        <s v="L"/>
        <s v="W"/>
      </sharedItems>
    </cacheField>
    <cacheField name="rata" numFmtId="0">
      <sharedItems containsSemiMixedTypes="0" containsString="0" containsNumber="1" containsInteger="1" minValue="750" maxValue="36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94.712606018518" createdVersion="8" refreshedVersion="8" minRefreshableVersion="3" recordCount="337" xr:uid="{15F26185-951C-4B20-9AE9-B1F3738ECB16}">
  <cacheSource type="worksheet">
    <worksheetSource name="uslugi49"/>
  </cacheSource>
  <cacheFields count="7">
    <cacheField name="NIP" numFmtId="0">
      <sharedItems containsSemiMixedTypes="0" containsString="0" containsNumber="1" containsInteger="1" minValue="1127056356" maxValue="6758177505"/>
    </cacheField>
    <cacheField name="ozn" numFmtId="0">
      <sharedItems count="40">
        <s v="KTA"/>
        <s v="LU"/>
        <s v="SBE"/>
        <s v="NEL"/>
        <s v="PTU"/>
        <s v="ONY"/>
        <s v="DW"/>
        <s v="NEB"/>
        <s v="LUB"/>
        <s v="DGR"/>
        <s v="PO"/>
        <s v="SRS"/>
        <s v="SB"/>
        <s v="LC"/>
        <s v="PN"/>
        <s v="EL"/>
        <s v="DOA"/>
        <s v="SK"/>
        <s v="BSI"/>
        <s v="OKL"/>
        <s v="PKS"/>
        <s v="RTA"/>
        <s v="TBU"/>
        <s v="NOL"/>
        <s v="PP"/>
        <s v="SL"/>
        <s v="LLE"/>
        <s v="PKO"/>
        <s v="SJ"/>
        <s v="OPO"/>
        <s v="NBR"/>
        <s v="LZA"/>
        <s v="SO"/>
        <s v="STA"/>
        <s v="DJE"/>
        <s v="SZ"/>
        <s v="BIA"/>
        <s v="PL"/>
        <s v="SR"/>
        <s v="SPI"/>
      </sharedItems>
    </cacheField>
    <cacheField name="nr" numFmtId="0">
      <sharedItems count="337">
        <s v="323W"/>
        <s v="16794"/>
        <s v="LL545"/>
        <s v="L584"/>
        <s v="6R13"/>
        <s v="U48HH"/>
        <s v="468L"/>
        <s v="TE554"/>
        <s v="O586"/>
        <s v="Z67OX"/>
        <s v="CD551"/>
        <s v="1234"/>
        <s v="G38FY"/>
        <s v="Z99ZO"/>
        <s v="16852"/>
        <s v="23815"/>
        <s v="545S"/>
        <s v="92NR"/>
        <s v="Q624"/>
        <s v="257G"/>
        <s v="O60RV"/>
        <s v="F718"/>
        <s v="SA138"/>
        <s v="16886"/>
        <s v="557F"/>
        <s v="D662"/>
        <s v="55355"/>
        <s v="E93DN"/>
        <s v="56466"/>
        <s v="7895G"/>
        <s v="16832"/>
        <s v="28920"/>
        <s v="90HD"/>
        <s v="R672"/>
        <s v="23411"/>
        <s v="RF346"/>
        <s v="54PX"/>
        <s v="16838"/>
        <s v="69798"/>
        <s v="M52XG"/>
        <s v="RJ349"/>
        <s v="34568"/>
        <s v="E630"/>
        <s v="7D14"/>
        <s v="55CS"/>
        <s v="S12EM"/>
        <s v="3841A"/>
        <s v="16880"/>
        <s v="3921Q"/>
        <s v="24678"/>
        <s v="83130"/>
        <s v="C568"/>
        <s v="WM236"/>
        <s v="16782"/>
        <s v="S98QG"/>
        <s v="3344T"/>
        <s v="L690"/>
        <s v="74242"/>
        <s v="RG347"/>
        <s v="N89WP"/>
        <s v="Z78PZ"/>
        <s v="1245"/>
        <s v="512R"/>
        <s v="16784"/>
        <s v="LG353"/>
        <s v="52YS"/>
        <s v="RM754"/>
        <s v="WD234"/>
        <s v="490N"/>
        <s v="L67AK"/>
        <s v="25082"/>
        <s v="49800"/>
        <s v="57577"/>
        <s v="RM745"/>
        <s v="7893E"/>
        <s v="N90SL"/>
        <s v="24072"/>
        <s v="14UV"/>
        <s v="P48WY"/>
        <s v="S23TN"/>
        <s v="25284"/>
        <s v="56KC"/>
        <s v="Y32DP"/>
        <s v="C632"/>
        <s v="4111S"/>
        <s v="34570"/>
        <s v="301J"/>
        <s v="Q564"/>
        <s v="279H"/>
        <s v="3941D"/>
        <s v="27304"/>
        <s v="RD345"/>
        <s v="4356G"/>
        <s v="16836"/>
        <s v="3851Q"/>
        <s v="24880"/>
        <s v="LF354"/>
        <s v="26294"/>
        <s v="O68AY"/>
        <s v="V720"/>
        <s v="RL351"/>
        <s v="CS552"/>
        <s v="16892"/>
        <s v="65ED"/>
        <s v="7897N"/>
        <s v="T606"/>
        <s v="M54EB"/>
        <s v="3871D"/>
        <s v="579W"/>
        <s v="61XF"/>
        <s v="26092"/>
        <s v="A44GU"/>
        <s v="16842"/>
        <s v="64243"/>
        <s v="16906"/>
        <s v="556V"/>
        <s v="246F"/>
        <s v="R79LM"/>
        <s v="48689"/>
        <s v="34572"/>
        <s v="G712"/>
        <s v="57SX"/>
        <s v="4101U"/>
        <s v="45356"/>
        <s v="27LS"/>
        <s v="3931S"/>
        <s v="28314"/>
        <s v="RK350"/>
        <s v="86463"/>
        <s v="3581R"/>
        <s v="S566"/>
        <s v="16904"/>
        <s v="356J"/>
        <s v="LD355"/>
        <s v="Y30EJ"/>
        <s v="3571C"/>
        <s v="367J"/>
        <s v="L74SB"/>
        <s v="A682"/>
        <s v="16896"/>
        <s v="PK128"/>
        <s v="16788"/>
        <s v="3901W"/>
        <s v="16792"/>
        <s v="3891T"/>
        <s v="LR356"/>
        <s v="16830"/>
        <s v="59799"/>
        <s v="34566"/>
        <s v="28112"/>
        <s v="F628"/>
        <s v="501V"/>
        <s v="16894"/>
        <s v="O62FG"/>
        <s v="H724"/>
        <s v="W570"/>
        <s v="A38DW"/>
        <s v="R78KN"/>
        <s v="24274"/>
        <s v="16900"/>
        <s v="D684"/>
        <s v="27708"/>
        <s v="L668"/>
        <s v="479M"/>
        <s v="P588"/>
        <s v="N91XU"/>
        <s v="L678"/>
        <s v="34574"/>
        <s v="87574"/>
        <s v="3561B"/>
        <s v="60910"/>
        <s v="N574"/>
        <s v="65354"/>
        <s v="E95RH"/>
        <s v="16902"/>
        <s v="S706"/>
        <s v="3631H"/>
        <s v="94MD"/>
        <s v="34576"/>
        <s v="76464"/>
        <s v="27102"/>
        <s v="80908"/>
        <s v="25JE"/>
        <s v="G40VV"/>
        <s v="28718"/>
        <s v="45333"/>
        <s v="O54JT"/>
        <s v="82019"/>
        <s v="6C31"/>
        <s v="JJ547"/>
        <s v="PP132"/>
        <s v="V638"/>
        <s v="RH348"/>
        <s v="16LG"/>
        <s v="3881E"/>
        <s v="97AK"/>
        <s v="16798"/>
        <s v="K674"/>
        <s v="SB135"/>
        <s v="3831W"/>
        <s v="26698"/>
        <s v="7901K"/>
        <s v="U676"/>
        <s v="P44AB"/>
        <s v="23613"/>
        <s v="O64VB"/>
        <s v="PL129"/>
        <s v="3621I"/>
        <s v="N650"/>
        <s v="S34YB"/>
        <s v="Z620"/>
        <s v="Y28XU"/>
        <s v="47578"/>
        <s v="16834"/>
        <s v="16844"/>
        <s v="1267"/>
        <s v="16882"/>
        <s v="25688"/>
        <s v="J666"/>
        <s v="52022"/>
        <s v="94RF"/>
        <s v="A40FT"/>
        <s v="B596"/>
        <s v="PW131"/>
        <s v="SX136"/>
        <s v="16822"/>
        <s v="I594"/>
        <s v="U50HG"/>
        <s v="3951A"/>
        <s v="54244"/>
        <s v="H592"/>
        <s v="3861S"/>
        <s v="X626"/>
        <s v="18IT"/>
        <s v="WS237"/>
        <s v="16796"/>
        <s v="73131"/>
        <s v="16846"/>
        <s v="345G"/>
        <s v="78686"/>
        <s v="77575"/>
        <s v="EU125"/>
        <s v="16888"/>
        <s v="S97VV"/>
        <s v="62021"/>
        <s v="50911"/>
        <s v="D622"/>
        <s v="16780"/>
        <s v="Y26SL"/>
        <s v="75353"/>
        <s v="68687"/>
        <s v="523S"/>
        <s v="J688"/>
        <s v="3651R"/>
        <s v="G664"/>
        <s v="84241"/>
        <s v="85352"/>
        <s v="V602"/>
        <s v="16790"/>
        <s v="ET124"/>
        <s v="567K"/>
        <s v="63132"/>
        <s v="EU126"/>
        <s v="66465"/>
        <s v="S45UV"/>
        <s v="E94CB"/>
        <s v="SD137"/>
        <s v="R80LN"/>
        <s v="G36RH"/>
        <s v="99KC"/>
        <s v="378G"/>
        <s v="1278"/>
        <s v="T600"/>
        <s v="63AR"/>
        <s v="53133"/>
        <s v="I680"/>
        <s v="M590"/>
        <s v="5F12"/>
        <s v="F572"/>
        <s v="J742"/>
        <s v="A42FY"/>
        <s v="27910"/>
        <s v="79797"/>
        <s v="601H"/>
        <s v="U728"/>
        <s v="23870"/>
        <s v="268H"/>
        <s v="WB235"/>
        <s v="O58CY"/>
        <s v="L72WG"/>
        <s v="16828"/>
        <s v="334F"/>
        <s v="25890"/>
        <s v="3601Y"/>
        <s v="3641B"/>
        <s v="16848"/>
        <s v="67576"/>
        <s v="72020"/>
        <s v="D604"/>
        <s v="Y726"/>
        <s v="Y648"/>
        <s v="PR133"/>
        <s v="28516"/>
        <s v="16850"/>
        <s v="JG549"/>
        <s v="290G"/>
        <s v="312W"/>
        <s v="O66QH"/>
        <s v="26496"/>
        <s v="R714"/>
        <s v="56456"/>
        <s v="16884"/>
        <s v="I740"/>
        <s v="T642"/>
        <s v="K34AW"/>
        <s v="PS130"/>
        <s v="1289"/>
        <s v="23668"/>
        <s v="20AF"/>
        <s v="4121F"/>
        <s v="L45QM"/>
        <s v="H640"/>
        <s v="JH548"/>
        <s v="534U"/>
        <s v="G634"/>
        <s v="7891Q"/>
        <s v="3591T"/>
        <s v="3661T"/>
        <s v="7899B"/>
        <s v="457K"/>
        <s v="P46ZH"/>
        <s v="X708"/>
        <s v="16826"/>
        <s v="46467"/>
        <s v="16824"/>
        <s v="J646"/>
        <s v="O750"/>
      </sharedItems>
    </cacheField>
    <cacheField name="rodzaj_uslugi" numFmtId="0">
      <sharedItems/>
    </cacheField>
    <cacheField name="rata" numFmtId="0">
      <sharedItems containsSemiMixedTypes="0" containsString="0" containsNumber="1" containsInteger="1" minValue="750" maxValue="3645"/>
    </cacheField>
    <cacheField name="tablica_rejestracyjna" numFmtId="0">
      <sharedItems count="337">
        <s v="KTA323W"/>
        <s v="LU16794"/>
        <s v="SBELL545"/>
        <s v="NELL584"/>
        <s v="PTU6R13"/>
        <s v="SBEU48HH"/>
        <s v="KTA468L"/>
        <s v="SBETE554"/>
        <s v="NELO586"/>
        <s v="SBEZ67OX"/>
        <s v="SBECD551"/>
        <s v="ONY1234"/>
        <s v="SBEG38FY"/>
        <s v="SBEZ99ZO"/>
        <s v="DW16852"/>
        <s v="DW23815"/>
        <s v="KTA545S"/>
        <s v="NEB92NR"/>
        <s v="LUBQ624"/>
        <s v="KTA257G"/>
        <s v="SBEO60RV"/>
        <s v="DGRF718"/>
        <s v="SBESA138"/>
        <s v="PO16886"/>
        <s v="DW557F"/>
        <s v="SRSD662"/>
        <s v="SB55355"/>
        <s v="SBEE93DN"/>
        <s v="SB56466"/>
        <s v="LC7895G"/>
        <s v="PN16832"/>
        <s v="EL28920"/>
        <s v="NEB90HD"/>
        <s v="DOAR672"/>
        <s v="DW23411"/>
        <s v="SBERF346"/>
        <s v="PTU54PX"/>
        <s v="PN16838"/>
        <s v="EL69798"/>
        <s v="SBEM52XG"/>
        <s v="SBERJ349"/>
        <s v="LC34568"/>
        <s v="LUBE630"/>
        <s v="PTU7D14"/>
        <s v="NEB55CS"/>
        <s v="SKS12EM"/>
        <s v="DW3841A"/>
        <s v="PO16880"/>
        <s v="PO3921Q"/>
        <s v="BSI24678"/>
        <s v="OKL83130"/>
        <s v="PKSC568"/>
        <s v="SKWM236"/>
        <s v="PN16782"/>
        <s v="SKS98QG"/>
        <s v="DW3344T"/>
        <s v="PTUL690"/>
        <s v="OKL74242"/>
        <s v="SKRG347"/>
        <s v="SKN89WP"/>
        <s v="SKZ78PZ"/>
        <s v="ONY1245"/>
        <s v="KTA512R"/>
        <s v="PN16784"/>
        <s v="SKLG353"/>
        <s v="PTU52YS"/>
        <s v="DWRM754"/>
        <s v="SKWD234"/>
        <s v="RTA490N"/>
        <s v="SKL67AK"/>
        <s v="BSI25082"/>
        <s v="SB49800"/>
        <s v="SB57577"/>
        <s v="SKRM745"/>
        <s v="LC7893E"/>
        <s v="SKN90SL"/>
        <s v="TBU24072"/>
        <s v="NOL14UV"/>
        <s v="POP48WY"/>
        <s v="POS23TN"/>
        <s v="BSI25284"/>
        <s v="PTU56KC"/>
        <s v="POY32DP"/>
        <s v="LUBC632"/>
        <s v="PN4111S"/>
        <s v="LC34570"/>
        <s v="RTA301J"/>
        <s v="PKSQ564"/>
        <s v="RTA279H"/>
        <s v="PO3941D"/>
        <s v="PP27304"/>
        <s v="PORD345"/>
        <s v="DW4356G"/>
        <s v="PN16836"/>
        <s v="DW3851Q"/>
        <s v="BSI24880"/>
        <s v="POLF354"/>
        <s v="SB26294"/>
        <s v="POO68AY"/>
        <s v="DGRV720"/>
        <s v="PORL351"/>
        <s v="POCS552"/>
        <s v="SL16892"/>
        <s v="LUB65ED"/>
        <s v="LC7897N"/>
        <s v="NEBT606"/>
        <s v="POM54EB"/>
        <s v="DW3871D"/>
        <s v="DW579W"/>
        <s v="LUB61XF"/>
        <s v="SB26092"/>
        <s v="POA44GU"/>
        <s v="DW16842"/>
        <s v="EL64243"/>
        <s v="PN16906"/>
        <s v="RTA556V"/>
        <s v="RTA246F"/>
        <s v="POR79LM"/>
        <s v="SB48689"/>
        <s v="LC34572"/>
        <s v="LLEG712"/>
        <s v="NEB57SX"/>
        <s v="PN4101U"/>
        <s v="SB45356"/>
        <s v="PKO27LS"/>
        <s v="PO3931S"/>
        <s v="EL28314"/>
        <s v="PORK350"/>
        <s v="OKL86463"/>
        <s v="LU3581R"/>
        <s v="PKSS566"/>
        <s v="PN16904"/>
        <s v="RTA356J"/>
        <s v="POLD355"/>
        <s v="POY30EJ"/>
        <s v="LU3571C"/>
        <s v="RTA367J"/>
        <s v="POL74SB"/>
        <s v="DOAA682"/>
        <s v="SL16896"/>
        <s v="POPK128"/>
        <s v="LU16788"/>
        <s v="DW3901W"/>
        <s v="LU16792"/>
        <s v="DW3891T"/>
        <s v="SJLR356"/>
        <s v="PN16830"/>
        <s v="EL59799"/>
        <s v="LC34566"/>
        <s v="EL28112"/>
        <s v="LUBF628"/>
        <s v="RTA501V"/>
        <s v="SL16894"/>
        <s v="SJO62FG"/>
        <s v="NEBH724"/>
        <s v="PKSW570"/>
        <s v="SJA38DW"/>
        <s v="SJR78KN"/>
        <s v="TBU24274"/>
        <s v="PN16900"/>
        <s v="DOAD684"/>
        <s v="EL27708"/>
        <s v="SRSL668"/>
        <s v="OPO479M"/>
        <s v="NELP588"/>
        <s v="SJN91XU"/>
        <s v="DOAL678"/>
        <s v="LC34574"/>
        <s v="OKL87574"/>
        <s v="LU3561B"/>
        <s v="EL60910"/>
        <s v="PKON574"/>
        <s v="EL65354"/>
        <s v="SJE95RH"/>
        <s v="PN16902"/>
        <s v="NBRS706"/>
        <s v="PN3631H"/>
        <s v="NEB94MD"/>
        <s v="LC34576"/>
        <s v="OKL76464"/>
        <s v="PP27102"/>
        <s v="OKL80908"/>
        <s v="PKO25JE"/>
        <s v="SJG40VV"/>
        <s v="EL28718"/>
        <s v="DW45333"/>
        <s v="SJO54JT"/>
        <s v="OKL82019"/>
        <s v="NEB6C31"/>
        <s v="SJJJ547"/>
        <s v="SJPP132"/>
        <s v="LZAV638"/>
        <s v="SORH348"/>
        <s v="NOL16LG"/>
        <s v="DW3881E"/>
        <s v="STA97AK"/>
        <s v="LU16798"/>
        <s v="DOAK674"/>
        <s v="SOSB135"/>
        <s v="DW3831W"/>
        <s v="SB26698"/>
        <s v="LC7901K"/>
        <s v="DOAU676"/>
        <s v="SOP44AB"/>
        <s v="DW23613"/>
        <s v="SOO64VB"/>
        <s v="SOPL129"/>
        <s v="PN3621I"/>
        <s v="NOLN650"/>
        <s v="SOS34YB"/>
        <s v="LUBZ620"/>
        <s v="SOY28XU"/>
        <s v="SB47578"/>
        <s v="PN16834"/>
        <s v="DW16844"/>
        <s v="ONY1267"/>
        <s v="PO16882"/>
        <s v="DJE25688"/>
        <s v="SRSJ666"/>
        <s v="DJE52022"/>
        <s v="PKO94RF"/>
        <s v="SOA40FT"/>
        <s v="NELB596"/>
        <s v="SOPW131"/>
        <s v="SOSX136"/>
        <s v="PN16822"/>
        <s v="NELI594"/>
        <s v="SOU50HG"/>
        <s v="PO3951A"/>
        <s v="DJE54244"/>
        <s v="NELH592"/>
        <s v="DW3861S"/>
        <s v="LUBX626"/>
        <s v="SRS18IT"/>
        <s v="SZWS237"/>
        <s v="LU16796"/>
        <s v="OKL73131"/>
        <s v="DW16846"/>
        <s v="OPO345G"/>
        <s v="BIA78686"/>
        <s v="BIA77575"/>
        <s v="SZEU125"/>
        <s v="PO16888"/>
        <s v="SZS97VV"/>
        <s v="EL62021"/>
        <s v="DJE50911"/>
        <s v="LUBD622"/>
        <s v="PN16780"/>
        <s v="SZY26SL"/>
        <s v="BIA75353"/>
        <s v="PL68687"/>
        <s v="OPO523S"/>
        <s v="PTUJ688"/>
        <s v="PN3651R"/>
        <s v="SRSG664"/>
        <s v="BIA84241"/>
        <s v="BIA85352"/>
        <s v="NEBV602"/>
        <s v="LU16790"/>
        <s v="SZET124"/>
        <s v="OPO567K"/>
        <s v="PL63132"/>
        <s v="SZEU126"/>
        <s v="PL66465"/>
        <s v="SZS45UV"/>
        <s v="SZE94CB"/>
        <s v="SZSD137"/>
        <s v="SZR80LN"/>
        <s v="SZG36RH"/>
        <s v="NOL99KC"/>
        <s v="OPO378G"/>
        <s v="ONY1278"/>
        <s v="NEBT600"/>
        <s v="LUB63AR"/>
        <s v="DJE53133"/>
        <s v="DOAI680"/>
        <s v="NELM590"/>
        <s v="PTU5F12"/>
        <s v="PKOF572"/>
        <s v="LUBJ742"/>
        <s v="SZA42FY"/>
        <s v="PL27910"/>
        <s v="BIA79797"/>
        <s v="DW601H"/>
        <s v="NEBU728"/>
        <s v="TBU23870"/>
        <s v="OPO268H"/>
        <s v="SZWB235"/>
        <s v="SZO58CY"/>
        <s v="SZL72WG"/>
        <s v="PN16828"/>
        <s v="STA334F"/>
        <s v="DJE25890"/>
        <s v="LU3601Y"/>
        <s v="PN3641B"/>
        <s v="DW16848"/>
        <s v="PL67576"/>
        <s v="BIA72020"/>
        <s v="NEBD604"/>
        <s v="NEBY726"/>
        <s v="NOLY648"/>
        <s v="SZPR133"/>
        <s v="PL28516"/>
        <s v="DW16850"/>
        <s v="SZJG549"/>
        <s v="STA290G"/>
        <s v="STA312W"/>
        <s v="SRO66QH"/>
        <s v="DJE26496"/>
        <s v="LLER714"/>
        <s v="DW56456"/>
        <s v="PO16884"/>
        <s v="LUBI740"/>
        <s v="LZAT642"/>
        <s v="SRK34AW"/>
        <s v="SRPS130"/>
        <s v="ONY1289"/>
        <s v="TBU23668"/>
        <s v="SRS20AF"/>
        <s v="PN4121F"/>
        <s v="SRL45QM"/>
        <s v="LZAH640"/>
        <s v="SRJH548"/>
        <s v="STA534U"/>
        <s v="LUBG634"/>
        <s v="LC7891Q"/>
        <s v="LU3591T"/>
        <s v="PN3661T"/>
        <s v="LC7899B"/>
        <s v="STA457K"/>
        <s v="SRP46ZH"/>
        <s v="NBRX708"/>
        <s v="PN16826"/>
        <s v="DJE46467"/>
        <s v="PN16824"/>
        <s v="NOLJ646"/>
        <s v="SPIO750"/>
      </sharedItems>
    </cacheField>
    <cacheField name="czyFirmaBartex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94.716680902777" createdVersion="8" refreshedVersion="8" minRefreshableVersion="3" recordCount="337" xr:uid="{1D59BEA3-3E4C-4F85-A825-666D9D8BF185}">
  <cacheSource type="worksheet">
    <worksheetSource name="uslugi411"/>
  </cacheSource>
  <cacheFields count="7">
    <cacheField name="NIP" numFmtId="0">
      <sharedItems containsSemiMixedTypes="0" containsString="0" containsNumber="1" containsInteger="1" minValue="1127056356" maxValue="6758177505"/>
    </cacheField>
    <cacheField name="ozn" numFmtId="0">
      <sharedItems/>
    </cacheField>
    <cacheField name="nr" numFmtId="0">
      <sharedItems/>
    </cacheField>
    <cacheField name="rodzaj_uslugi" numFmtId="0">
      <sharedItems count="2">
        <s v="L"/>
        <s v="W"/>
      </sharedItems>
    </cacheField>
    <cacheField name="rata" numFmtId="0">
      <sharedItems containsSemiMixedTypes="0" containsString="0" containsNumber="1" containsInteger="1" minValue="750" maxValue="3645"/>
    </cacheField>
    <cacheField name="nazwa_firmy" numFmtId="0">
      <sharedItems count="60">
        <s v="ANDROPOL SP. Z. O. O."/>
        <s v="KPICO"/>
        <s v="LESZNO"/>
        <s v="METALL"/>
        <s v="RENOWATOR"/>
        <s v="SUWAL"/>
        <s v="WERTIX"/>
        <s v="TRZEBNICA"/>
        <s v="SZAMOT"/>
        <s v="OLECKO"/>
        <s v="ZGORZELEC"/>
        <s v="TARNOR"/>
        <s v="ZWIERZYNIEC"/>
        <s v="FASO"/>
        <s v="NAFTO-GAZ"/>
        <s v="TECH-MASZ"/>
        <s v="MURATOR"/>
        <s v="SOSNEC"/>
        <s v="FERMILAB"/>
        <s v="SENIN"/>
        <s v="KUSTMASZ"/>
        <s v="BETON-STAL"/>
        <s v="WROCBUD2"/>
        <s v="WRZESNIA1"/>
        <s v="MASPOL"/>
        <s v="BARTEX"/>
        <s v="LUBEX"/>
        <s v="WARM S. A."/>
        <s v="WROCBUD4"/>
        <s v="MIEDZYRZECZ"/>
        <s v="PETROLEUM"/>
        <s v="TARGOR"/>
        <s v="WROCBUD3"/>
        <s v="KONSBET"/>
        <s v="OSTOPOL"/>
        <s v="REFAMUR"/>
        <s v="SZCZEBRZESZYN"/>
        <s v="WROCBUD1"/>
        <s v="NOTOM"/>
        <s v="LUBLIN1"/>
        <s v="OLSZTYN"/>
        <s v="MAZUTEX"/>
        <s v="PIEKAR"/>
        <s v="BYTOM1"/>
        <s v="WIET-IND"/>
        <s v="WRZESNIA2"/>
        <s v="BYTOM2"/>
        <s v="ZABER"/>
        <s v="BAZALT S. A."/>
        <s v="ZONAN"/>
        <s v="SZPULTEX"/>
        <s v="OBOR"/>
        <s v="JELORA"/>
        <s v="GAZPOL"/>
        <s v="FAL-STAL"/>
        <s v="LUBLIN2"/>
        <s v="ELINK"/>
        <s v="ZACH-MET"/>
        <s v="KERN"/>
        <s v="JUSTPOL"/>
      </sharedItems>
    </cacheField>
    <cacheField name="rejestracj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94.720085763889" createdVersion="8" refreshedVersion="8" minRefreshableVersion="3" recordCount="337" xr:uid="{F84DC89E-BA13-4FDE-BF85-0F1D02AC9072}">
  <cacheSource type="worksheet">
    <worksheetSource name="uslugi413"/>
  </cacheSource>
  <cacheFields count="7">
    <cacheField name="NIP" numFmtId="0">
      <sharedItems containsSemiMixedTypes="0" containsString="0" containsNumber="1" containsInteger="1" minValue="1127056356" maxValue="6758177505"/>
    </cacheField>
    <cacheField name="ozn" numFmtId="0">
      <sharedItems/>
    </cacheField>
    <cacheField name="nr" numFmtId="0">
      <sharedItems/>
    </cacheField>
    <cacheField name="rodzaj_uslugi" numFmtId="0">
      <sharedItems/>
    </cacheField>
    <cacheField name="rata" numFmtId="0">
      <sharedItems containsSemiMixedTypes="0" containsString="0" containsNumber="1" containsInteger="1" minValue="750" maxValue="3645"/>
    </cacheField>
    <cacheField name="powiat" numFmtId="0">
      <sharedItems count="38">
        <s v="tarnowski"/>
        <s v="Lublin"/>
        <s v="bedzinski"/>
        <s v="elcki"/>
        <s v="turecki"/>
        <s v="nyski"/>
        <s v="Wroclaw"/>
        <s v="elblaski"/>
        <s v="lubelski"/>
        <s v="gorowski"/>
        <s v="Poznan"/>
        <s v="Ruda Slaska"/>
        <s v="Bielsko-Biala"/>
        <s v="Chelm"/>
        <s v="Konin"/>
        <s v="Lodz"/>
        <s v="olawski"/>
        <s v="Katowice"/>
        <s v="siemiatycki"/>
        <s v="kluczborski"/>
        <s v="koscianski"/>
        <s v="tarnobrzeski"/>
        <s v="buski"/>
        <s v="olsztynski"/>
        <s v="pilski"/>
        <s v="leczynski"/>
        <s v="Jaworzno"/>
        <s v="opolski"/>
        <s v="braniewski"/>
        <s v="zamojski"/>
        <s v="Sosnowiec"/>
        <s v="tarnogorski"/>
        <s v="jeleniogorski"/>
        <s v="Zabrze"/>
        <s v="bialostocki"/>
        <s v="Leszno"/>
        <s v="Rybnik"/>
        <s v="Piekary Slaskie"/>
      </sharedItems>
    </cacheField>
    <cacheField name="czy_ziemski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94.721811574076" createdVersion="8" refreshedVersion="8" minRefreshableVersion="3" recordCount="337" xr:uid="{EB544246-3960-422F-9921-33219C0F5E28}">
  <cacheSource type="worksheet">
    <worksheetSource name="uslugi41315"/>
  </cacheSource>
  <cacheFields count="8">
    <cacheField name="NIP" numFmtId="0">
      <sharedItems containsSemiMixedTypes="0" containsString="0" containsNumber="1" containsInteger="1" minValue="1127056356" maxValue="6758177505"/>
    </cacheField>
    <cacheField name="ozn" numFmtId="0">
      <sharedItems/>
    </cacheField>
    <cacheField name="nr" numFmtId="0">
      <sharedItems/>
    </cacheField>
    <cacheField name="rodzaj_uslugi" numFmtId="0">
      <sharedItems/>
    </cacheField>
    <cacheField name="rata" numFmtId="0">
      <sharedItems containsSemiMixedTypes="0" containsString="0" containsNumber="1" containsInteger="1" minValue="750" maxValue="3645"/>
    </cacheField>
    <cacheField name="powiat" numFmtId="0">
      <sharedItems/>
    </cacheField>
    <cacheField name="czyKonin" numFmtId="0">
      <sharedItems containsSemiMixedTypes="0" containsString="0" containsNumber="1" containsInteger="1" minValue="0" maxValue="1" count="2">
        <n v="0"/>
        <n v="1"/>
      </sharedItems>
    </cacheField>
    <cacheField name="nazwa_firmy" numFmtId="0">
      <sharedItems count="60">
        <s v="ANDROPOL SP. Z. O. O."/>
        <s v="KPICO"/>
        <s v="LESZNO"/>
        <s v="METALL"/>
        <s v="RENOWATOR"/>
        <s v="SUWAL"/>
        <s v="WERTIX"/>
        <s v="TRZEBNICA"/>
        <s v="SZAMOT"/>
        <s v="OLECKO"/>
        <s v="ZGORZELEC"/>
        <s v="TARNOR"/>
        <s v="ZWIERZYNIEC"/>
        <s v="FASO"/>
        <s v="NAFTO-GAZ"/>
        <s v="TECH-MASZ"/>
        <s v="MURATOR"/>
        <s v="SOSNEC"/>
        <s v="FERMILAB"/>
        <s v="SENIN"/>
        <s v="KUSTMASZ"/>
        <s v="BETON-STAL"/>
        <s v="WROCBUD2"/>
        <s v="WRZESNIA1"/>
        <s v="MASPOL"/>
        <s v="BARTEX"/>
        <s v="LUBEX"/>
        <s v="WARM S. A."/>
        <s v="WROCBUD4"/>
        <s v="MIEDZYRZECZ"/>
        <s v="PETROLEUM"/>
        <s v="TARGOR"/>
        <s v="WROCBUD3"/>
        <s v="KONSBET"/>
        <s v="OSTOPOL"/>
        <s v="REFAMUR"/>
        <s v="SZCZEBRZESZYN"/>
        <s v="WROCBUD1"/>
        <s v="NOTOM"/>
        <s v="LUBLIN1"/>
        <s v="OLSZTYN"/>
        <s v="MAZUTEX"/>
        <s v="PIEKAR"/>
        <s v="BYTOM1"/>
        <s v="WIET-IND"/>
        <s v="WRZESNIA2"/>
        <s v="BYTOM2"/>
        <s v="ZABER"/>
        <s v="BAZALT S. A."/>
        <s v="ZONAN"/>
        <s v="SZPULTEX"/>
        <s v="OBOR"/>
        <s v="JELORA"/>
        <s v="GAZPOL"/>
        <s v="FAL-STAL"/>
        <s v="LUBLIN2"/>
        <s v="ELINK"/>
        <s v="ZACH-MET"/>
        <s v="KERN"/>
        <s v="JUSTP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n v="6727559092"/>
    <s v="KTA"/>
    <s v="323W"/>
    <x v="0"/>
    <n v="1240"/>
  </r>
  <r>
    <n v="3866883575"/>
    <s v="LU"/>
    <s v="16794"/>
    <x v="0"/>
    <n v="3022"/>
  </r>
  <r>
    <n v="1165493421"/>
    <s v="SBE"/>
    <s v="LL545"/>
    <x v="0"/>
    <n v="1770"/>
  </r>
  <r>
    <n v="2138598159"/>
    <s v="NEL"/>
    <s v="L584"/>
    <x v="0"/>
    <n v="2272"/>
  </r>
  <r>
    <n v="1617995032"/>
    <s v="PTU"/>
    <s v="6R13"/>
    <x v="0"/>
    <n v="2253"/>
  </r>
  <r>
    <n v="2625657803"/>
    <s v="SBE"/>
    <s v="U48HH"/>
    <x v="1"/>
    <n v="2349"/>
  </r>
  <r>
    <n v="6758177505"/>
    <s v="KTA"/>
    <s v="468L"/>
    <x v="1"/>
    <n v="2154"/>
  </r>
  <r>
    <n v="4531538788"/>
    <s v="SBE"/>
    <s v="TE554"/>
    <x v="0"/>
    <n v="2385"/>
  </r>
  <r>
    <n v="2138598159"/>
    <s v="NEL"/>
    <s v="O586"/>
    <x v="1"/>
    <n v="2370"/>
  </r>
  <r>
    <n v="1818291355"/>
    <s v="SBE"/>
    <s v="Z67OX"/>
    <x v="0"/>
    <n v="1862"/>
  </r>
  <r>
    <n v="2599394621"/>
    <s v="SBE"/>
    <s v="CD551"/>
    <x v="1"/>
    <n v="2508"/>
  </r>
  <r>
    <n v="4653095092"/>
    <s v="ONY"/>
    <s v="1234"/>
    <x v="0"/>
    <n v="2502"/>
  </r>
  <r>
    <n v="5229945534"/>
    <s v="SBE"/>
    <s v="G38FY"/>
    <x v="1"/>
    <n v="2674"/>
  </r>
  <r>
    <n v="3743661247"/>
    <s v="SBE"/>
    <s v="Z99ZO"/>
    <x v="1"/>
    <n v="2176"/>
  </r>
  <r>
    <n v="4779174699"/>
    <s v="DW"/>
    <s v="16852"/>
    <x v="1"/>
    <n v="1875"/>
  </r>
  <r>
    <n v="4715154852"/>
    <s v="DW"/>
    <s v="23815"/>
    <x v="0"/>
    <n v="2520"/>
  </r>
  <r>
    <n v="6758177505"/>
    <s v="KTA"/>
    <s v="545S"/>
    <x v="0"/>
    <n v="2984"/>
  </r>
  <r>
    <n v="2581219876"/>
    <s v="NEB"/>
    <s v="92NR"/>
    <x v="1"/>
    <n v="2685"/>
  </r>
  <r>
    <n v="3568004264"/>
    <s v="LUB"/>
    <s v="Q624"/>
    <x v="0"/>
    <n v="2438"/>
  </r>
  <r>
    <n v="6727559092"/>
    <s v="KTA"/>
    <s v="257G"/>
    <x v="1"/>
    <n v="2435"/>
  </r>
  <r>
    <n v="5418968184"/>
    <s v="SBE"/>
    <s v="O60RV"/>
    <x v="0"/>
    <n v="1806"/>
  </r>
  <r>
    <n v="4956781088"/>
    <s v="DGR"/>
    <s v="F718"/>
    <x v="1"/>
    <n v="2156"/>
  </r>
  <r>
    <n v="5341884086"/>
    <s v="SBE"/>
    <s v="SA138"/>
    <x v="1"/>
    <n v="1908"/>
  </r>
  <r>
    <n v="1939065269"/>
    <s v="PO"/>
    <s v="16886"/>
    <x v="1"/>
    <n v="3156"/>
  </r>
  <r>
    <n v="4715154852"/>
    <s v="DW"/>
    <s v="557F"/>
    <x v="0"/>
    <n v="2276"/>
  </r>
  <r>
    <n v="5115061689"/>
    <s v="SRS"/>
    <s v="D662"/>
    <x v="1"/>
    <n v="1627"/>
  </r>
  <r>
    <n v="4326751508"/>
    <s v="SB"/>
    <s v="55355"/>
    <x v="1"/>
    <n v="2060"/>
  </r>
  <r>
    <n v="1581329071"/>
    <s v="SBE"/>
    <s v="E93DN"/>
    <x v="1"/>
    <n v="2236"/>
  </r>
  <r>
    <n v="4326751508"/>
    <s v="SB"/>
    <s v="56466"/>
    <x v="0"/>
    <n v="2000"/>
  </r>
  <r>
    <n v="3470453173"/>
    <s v="LC"/>
    <s v="7895G"/>
    <x v="0"/>
    <n v="2040"/>
  </r>
  <r>
    <n v="1433397952"/>
    <s v="PN"/>
    <s v="16832"/>
    <x v="1"/>
    <n v="2734"/>
  </r>
  <r>
    <n v="3783578981"/>
    <s v="EL"/>
    <s v="28920"/>
    <x v="0"/>
    <n v="1935"/>
  </r>
  <r>
    <n v="2581219876"/>
    <s v="NEB"/>
    <s v="90HD"/>
    <x v="1"/>
    <n v="2818"/>
  </r>
  <r>
    <n v="4796841112"/>
    <s v="DOA"/>
    <s v="R672"/>
    <x v="0"/>
    <n v="2668"/>
  </r>
  <r>
    <n v="4715154852"/>
    <s v="DW"/>
    <s v="23411"/>
    <x v="1"/>
    <n v="2700"/>
  </r>
  <r>
    <n v="4241680809"/>
    <s v="SBE"/>
    <s v="RF346"/>
    <x v="1"/>
    <n v="2496"/>
  </r>
  <r>
    <n v="1617995032"/>
    <s v="PTU"/>
    <s v="54PX"/>
    <x v="1"/>
    <n v="2148"/>
  </r>
  <r>
    <n v="1433397952"/>
    <s v="PN"/>
    <s v="16838"/>
    <x v="0"/>
    <n v="2160"/>
  </r>
  <r>
    <n v="4326751508"/>
    <s v="EL"/>
    <s v="69798"/>
    <x v="1"/>
    <n v="2056"/>
  </r>
  <r>
    <n v="1246489959"/>
    <s v="SBE"/>
    <s v="M52XG"/>
    <x v="1"/>
    <n v="1812"/>
  </r>
  <r>
    <n v="4241680809"/>
    <s v="SBE"/>
    <s v="RJ349"/>
    <x v="1"/>
    <n v="2664"/>
  </r>
  <r>
    <n v="3470453173"/>
    <s v="LC"/>
    <s v="34568"/>
    <x v="1"/>
    <n v="2872"/>
  </r>
  <r>
    <n v="3568004264"/>
    <s v="LUB"/>
    <s v="E630"/>
    <x v="1"/>
    <n v="1928"/>
  </r>
  <r>
    <n v="1617995032"/>
    <s v="PTU"/>
    <s v="7D14"/>
    <x v="1"/>
    <n v="2194"/>
  </r>
  <r>
    <n v="2119268767"/>
    <s v="NEB"/>
    <s v="55CS"/>
    <x v="1"/>
    <n v="2114"/>
  </r>
  <r>
    <n v="5341884086"/>
    <s v="SK"/>
    <s v="S12EM"/>
    <x v="1"/>
    <n v="2364"/>
  </r>
  <r>
    <n v="4779174699"/>
    <s v="DW"/>
    <s v="3841A"/>
    <x v="1"/>
    <n v="2462"/>
  </r>
  <r>
    <n v="1939065269"/>
    <s v="PO"/>
    <s v="16880"/>
    <x v="1"/>
    <n v="2696"/>
  </r>
  <r>
    <n v="1939065269"/>
    <s v="PO"/>
    <s v="3921Q"/>
    <x v="0"/>
    <n v="2073"/>
  </r>
  <r>
    <n v="5459753232"/>
    <s v="BSI"/>
    <s v="24678"/>
    <x v="1"/>
    <n v="1629"/>
  </r>
  <r>
    <n v="4761158900"/>
    <s v="OKL"/>
    <s v="83130"/>
    <x v="1"/>
    <n v="2139"/>
  </r>
  <r>
    <n v="1127056356"/>
    <s v="PKS"/>
    <s v="C568"/>
    <x v="1"/>
    <n v="2944"/>
  </r>
  <r>
    <n v="1361555378"/>
    <s v="SK"/>
    <s v="WM236"/>
    <x v="0"/>
    <n v="2250"/>
  </r>
  <r>
    <n v="1278408463"/>
    <s v="PN"/>
    <s v="16782"/>
    <x v="1"/>
    <n v="2190"/>
  </r>
  <r>
    <n v="3114182744"/>
    <s v="SK"/>
    <s v="S98QG"/>
    <x v="1"/>
    <n v="2074"/>
  </r>
  <r>
    <n v="4458233905"/>
    <s v="DW"/>
    <s v="3344T"/>
    <x v="0"/>
    <n v="1200"/>
  </r>
  <r>
    <n v="1617995032"/>
    <s v="PTU"/>
    <s v="L690"/>
    <x v="0"/>
    <n v="1965"/>
  </r>
  <r>
    <n v="4761158900"/>
    <s v="OKL"/>
    <s v="74242"/>
    <x v="0"/>
    <n v="1894"/>
  </r>
  <r>
    <n v="4241680809"/>
    <s v="SK"/>
    <s v="RG347"/>
    <x v="1"/>
    <n v="1946"/>
  </r>
  <r>
    <n v="1524870307"/>
    <s v="SK"/>
    <s v="N89WP"/>
    <x v="0"/>
    <n v="1810"/>
  </r>
  <r>
    <n v="1818291355"/>
    <s v="SK"/>
    <s v="Z78PZ"/>
    <x v="0"/>
    <n v="2448"/>
  </r>
  <r>
    <n v="4653095092"/>
    <s v="ONY"/>
    <s v="1245"/>
    <x v="1"/>
    <n v="1995"/>
  </r>
  <r>
    <n v="6758177505"/>
    <s v="KTA"/>
    <s v="512R"/>
    <x v="0"/>
    <n v="2216"/>
  </r>
  <r>
    <n v="1278408463"/>
    <s v="PN"/>
    <s v="16784"/>
    <x v="0"/>
    <n v="2226"/>
  </r>
  <r>
    <n v="3318203338"/>
    <s v="SK"/>
    <s v="LG353"/>
    <x v="0"/>
    <n v="2640"/>
  </r>
  <r>
    <n v="1617995032"/>
    <s v="PTU"/>
    <s v="52YS"/>
    <x v="0"/>
    <n v="2358"/>
  </r>
  <r>
    <n v="4458233905"/>
    <s v="DW"/>
    <s v="RM754"/>
    <x v="1"/>
    <n v="2175"/>
  </r>
  <r>
    <n v="1361555378"/>
    <s v="SK"/>
    <s v="WD234"/>
    <x v="0"/>
    <n v="2972"/>
  </r>
  <r>
    <n v="6758177505"/>
    <s v="RTA"/>
    <s v="490N"/>
    <x v="0"/>
    <n v="1779"/>
  </r>
  <r>
    <n v="3318203338"/>
    <s v="SK"/>
    <s v="L67AK"/>
    <x v="1"/>
    <n v="2165"/>
  </r>
  <r>
    <n v="5459753232"/>
    <s v="BSI"/>
    <s v="25082"/>
    <x v="0"/>
    <n v="2758"/>
  </r>
  <r>
    <n v="4326751508"/>
    <s v="SB"/>
    <s v="49800"/>
    <x v="1"/>
    <n v="2198"/>
  </r>
  <r>
    <n v="4326751508"/>
    <s v="SB"/>
    <s v="57577"/>
    <x v="1"/>
    <n v="1902"/>
  </r>
  <r>
    <n v="4458233905"/>
    <s v="SK"/>
    <s v="RM745"/>
    <x v="1"/>
    <n v="2318"/>
  </r>
  <r>
    <n v="3470453173"/>
    <s v="LC"/>
    <s v="7893E"/>
    <x v="0"/>
    <n v="2415"/>
  </r>
  <r>
    <n v="1524870307"/>
    <s v="SK"/>
    <s v="N90SL"/>
    <x v="1"/>
    <n v="1893"/>
  </r>
  <r>
    <n v="2245871126"/>
    <s v="TBU"/>
    <s v="24072"/>
    <x v="1"/>
    <n v="1950"/>
  </r>
  <r>
    <n v="2281651150"/>
    <s v="NOL"/>
    <s v="14UV"/>
    <x v="1"/>
    <n v="2575"/>
  </r>
  <r>
    <n v="5266741491"/>
    <s v="PO"/>
    <s v="P48WY"/>
    <x v="0"/>
    <n v="2565"/>
  </r>
  <r>
    <n v="5341884086"/>
    <s v="PO"/>
    <s v="S23TN"/>
    <x v="0"/>
    <n v="1970"/>
  </r>
  <r>
    <n v="5459753232"/>
    <s v="BSI"/>
    <s v="25284"/>
    <x v="1"/>
    <n v="1950"/>
  </r>
  <r>
    <n v="1617995032"/>
    <s v="PTU"/>
    <s v="56KC"/>
    <x v="0"/>
    <n v="2448"/>
  </r>
  <r>
    <n v="5185759244"/>
    <s v="PO"/>
    <s v="Y32DP"/>
    <x v="1"/>
    <n v="2688"/>
  </r>
  <r>
    <n v="3568004264"/>
    <s v="LUB"/>
    <s v="C632"/>
    <x v="0"/>
    <n v="2185"/>
  </r>
  <r>
    <n v="1620242236"/>
    <s v="PN"/>
    <s v="4111S"/>
    <x v="1"/>
    <n v="3192"/>
  </r>
  <r>
    <n v="3470453173"/>
    <s v="LC"/>
    <s v="34570"/>
    <x v="1"/>
    <n v="2464"/>
  </r>
  <r>
    <n v="6727559092"/>
    <s v="RTA"/>
    <s v="301J"/>
    <x v="1"/>
    <n v="2034"/>
  </r>
  <r>
    <n v="1127056356"/>
    <s v="PKS"/>
    <s v="Q564"/>
    <x v="0"/>
    <n v="2436"/>
  </r>
  <r>
    <n v="6727559092"/>
    <s v="RTA"/>
    <s v="279H"/>
    <x v="1"/>
    <n v="2114"/>
  </r>
  <r>
    <n v="1939065269"/>
    <s v="PO"/>
    <s v="3941D"/>
    <x v="0"/>
    <n v="2390"/>
  </r>
  <r>
    <n v="1820566794"/>
    <s v="PP"/>
    <s v="27304"/>
    <x v="0"/>
    <n v="1932"/>
  </r>
  <r>
    <n v="4241680809"/>
    <s v="PO"/>
    <s v="RD345"/>
    <x v="0"/>
    <n v="2720"/>
  </r>
  <r>
    <n v="4458233905"/>
    <s v="DW"/>
    <s v="4356G"/>
    <x v="0"/>
    <n v="2478"/>
  </r>
  <r>
    <n v="1433397952"/>
    <s v="PN"/>
    <s v="16836"/>
    <x v="1"/>
    <n v="2434"/>
  </r>
  <r>
    <n v="4779174699"/>
    <s v="DW"/>
    <s v="3851Q"/>
    <x v="0"/>
    <n v="2992"/>
  </r>
  <r>
    <n v="5459753232"/>
    <s v="BSI"/>
    <s v="24880"/>
    <x v="1"/>
    <n v="1860"/>
  </r>
  <r>
    <n v="3318203338"/>
    <s v="PO"/>
    <s v="LF354"/>
    <x v="0"/>
    <n v="2427"/>
  </r>
  <r>
    <n v="5514533376"/>
    <s v="SB"/>
    <s v="26294"/>
    <x v="1"/>
    <n v="2926"/>
  </r>
  <r>
    <n v="5418968184"/>
    <s v="PO"/>
    <s v="O68AY"/>
    <x v="1"/>
    <n v="1902"/>
  </r>
  <r>
    <n v="4956781088"/>
    <s v="DGR"/>
    <s v="V720"/>
    <x v="0"/>
    <n v="1929"/>
  </r>
  <r>
    <n v="4241680809"/>
    <s v="PO"/>
    <s v="RL351"/>
    <x v="0"/>
    <n v="3056"/>
  </r>
  <r>
    <n v="2599394621"/>
    <s v="PO"/>
    <s v="CS552"/>
    <x v="1"/>
    <n v="2818"/>
  </r>
  <r>
    <n v="5115061689"/>
    <s v="SL"/>
    <s v="16892"/>
    <x v="0"/>
    <n v="3144"/>
  </r>
  <r>
    <n v="3568004264"/>
    <s v="LUB"/>
    <s v="65ED"/>
    <x v="1"/>
    <n v="3060"/>
  </r>
  <r>
    <n v="3470453173"/>
    <s v="LC"/>
    <s v="7897N"/>
    <x v="0"/>
    <n v="1866"/>
  </r>
  <r>
    <n v="2119268767"/>
    <s v="NEB"/>
    <s v="T606"/>
    <x v="1"/>
    <n v="2928"/>
  </r>
  <r>
    <n v="1246489959"/>
    <s v="PO"/>
    <s v="M54EB"/>
    <x v="1"/>
    <n v="2590"/>
  </r>
  <r>
    <n v="4779174699"/>
    <s v="DW"/>
    <s v="3871D"/>
    <x v="0"/>
    <n v="2445"/>
  </r>
  <r>
    <n v="4715154852"/>
    <s v="DW"/>
    <s v="579W"/>
    <x v="0"/>
    <n v="2780"/>
  </r>
  <r>
    <n v="3568004264"/>
    <s v="LUB"/>
    <s v="61XF"/>
    <x v="0"/>
    <n v="2720"/>
  </r>
  <r>
    <n v="5514533376"/>
    <s v="SB"/>
    <s v="26092"/>
    <x v="1"/>
    <n v="2136"/>
  </r>
  <r>
    <n v="5528435390"/>
    <s v="PO"/>
    <s v="A44GU"/>
    <x v="0"/>
    <n v="2328"/>
  </r>
  <r>
    <n v="4779174699"/>
    <s v="DW"/>
    <s v="16842"/>
    <x v="0"/>
    <n v="2920"/>
  </r>
  <r>
    <n v="4326751508"/>
    <s v="EL"/>
    <s v="64243"/>
    <x v="1"/>
    <n v="3324"/>
  </r>
  <r>
    <n v="1620242236"/>
    <s v="PN"/>
    <s v="16906"/>
    <x v="0"/>
    <n v="2915"/>
  </r>
  <r>
    <n v="6758177505"/>
    <s v="RTA"/>
    <s v="556V"/>
    <x v="1"/>
    <n v="1930"/>
  </r>
  <r>
    <n v="6727559092"/>
    <s v="RTA"/>
    <s v="246F"/>
    <x v="1"/>
    <n v="2361"/>
  </r>
  <r>
    <n v="4241680809"/>
    <s v="PO"/>
    <s v="R79LM"/>
    <x v="1"/>
    <n v="1863"/>
  </r>
  <r>
    <n v="4326751508"/>
    <s v="SB"/>
    <s v="48689"/>
    <x v="0"/>
    <n v="2420"/>
  </r>
  <r>
    <n v="3470453173"/>
    <s v="LC"/>
    <s v="34572"/>
    <x v="1"/>
    <n v="2625"/>
  </r>
  <r>
    <n v="3579231044"/>
    <s v="LLE"/>
    <s v="G712"/>
    <x v="1"/>
    <n v="2314"/>
  </r>
  <r>
    <n v="2119268767"/>
    <s v="NEB"/>
    <s v="57SX"/>
    <x v="1"/>
    <n v="2340"/>
  </r>
  <r>
    <n v="1620242236"/>
    <s v="PN"/>
    <s v="4101U"/>
    <x v="0"/>
    <n v="2181"/>
  </r>
  <r>
    <n v="4326751508"/>
    <s v="SB"/>
    <s v="45356"/>
    <x v="0"/>
    <n v="2800"/>
  </r>
  <r>
    <n v="1278408463"/>
    <s v="PKO"/>
    <s v="27LS"/>
    <x v="1"/>
    <n v="2589"/>
  </r>
  <r>
    <n v="1939065269"/>
    <s v="PO"/>
    <s v="3931S"/>
    <x v="0"/>
    <n v="2360"/>
  </r>
  <r>
    <n v="3783578981"/>
    <s v="EL"/>
    <s v="28314"/>
    <x v="1"/>
    <n v="2185"/>
  </r>
  <r>
    <n v="4241680809"/>
    <s v="PO"/>
    <s v="RK350"/>
    <x v="0"/>
    <n v="2319"/>
  </r>
  <r>
    <n v="4761158900"/>
    <s v="OKL"/>
    <s v="86463"/>
    <x v="0"/>
    <n v="2208"/>
  </r>
  <r>
    <n v="3866883575"/>
    <s v="LU"/>
    <s v="3581R"/>
    <x v="1"/>
    <n v="1520"/>
  </r>
  <r>
    <n v="1127056356"/>
    <s v="PKS"/>
    <s v="S566"/>
    <x v="0"/>
    <n v="2050"/>
  </r>
  <r>
    <n v="1620242236"/>
    <s v="PN"/>
    <s v="16904"/>
    <x v="1"/>
    <n v="2336"/>
  </r>
  <r>
    <n v="6727559092"/>
    <s v="RTA"/>
    <s v="356J"/>
    <x v="1"/>
    <n v="2034"/>
  </r>
  <r>
    <n v="3318203338"/>
    <s v="PO"/>
    <s v="LD355"/>
    <x v="1"/>
    <n v="1900"/>
  </r>
  <r>
    <n v="5185759244"/>
    <s v="PO"/>
    <s v="Y30EJ"/>
    <x v="0"/>
    <n v="2277"/>
  </r>
  <r>
    <n v="3866883575"/>
    <s v="LU"/>
    <s v="3571C"/>
    <x v="1"/>
    <n v="2994"/>
  </r>
  <r>
    <n v="6727559092"/>
    <s v="RTA"/>
    <s v="367J"/>
    <x v="1"/>
    <n v="2315"/>
  </r>
  <r>
    <n v="1165493421"/>
    <s v="PO"/>
    <s v="L74SB"/>
    <x v="1"/>
    <n v="2560"/>
  </r>
  <r>
    <n v="4796841112"/>
    <s v="DOA"/>
    <s v="A682"/>
    <x v="1"/>
    <n v="2391"/>
  </r>
  <r>
    <n v="5115061689"/>
    <s v="SL"/>
    <s v="16896"/>
    <x v="1"/>
    <n v="2085"/>
  </r>
  <r>
    <n v="1599095267"/>
    <s v="PO"/>
    <s v="PK128"/>
    <x v="1"/>
    <n v="2105"/>
  </r>
  <r>
    <n v="3866883575"/>
    <s v="LU"/>
    <s v="16788"/>
    <x v="1"/>
    <n v="1928"/>
  </r>
  <r>
    <n v="4779174699"/>
    <s v="DW"/>
    <s v="3901W"/>
    <x v="0"/>
    <n v="1852"/>
  </r>
  <r>
    <n v="3866883575"/>
    <s v="LU"/>
    <s v="16792"/>
    <x v="1"/>
    <n v="2784"/>
  </r>
  <r>
    <n v="4779174699"/>
    <s v="DW"/>
    <s v="3891T"/>
    <x v="1"/>
    <n v="2348"/>
  </r>
  <r>
    <n v="3318203338"/>
    <s v="SJ"/>
    <s v="LR356"/>
    <x v="1"/>
    <n v="2305"/>
  </r>
  <r>
    <n v="1433397952"/>
    <s v="PN"/>
    <s v="16830"/>
    <x v="0"/>
    <n v="2282"/>
  </r>
  <r>
    <n v="4326751508"/>
    <s v="EL"/>
    <s v="59799"/>
    <x v="0"/>
    <n v="2408"/>
  </r>
  <r>
    <n v="3470453173"/>
    <s v="LC"/>
    <s v="34566"/>
    <x v="1"/>
    <n v="1835"/>
  </r>
  <r>
    <n v="3783578981"/>
    <s v="EL"/>
    <s v="28112"/>
    <x v="0"/>
    <n v="1869"/>
  </r>
  <r>
    <n v="3568004264"/>
    <s v="LUB"/>
    <s v="F628"/>
    <x v="1"/>
    <n v="1804"/>
  </r>
  <r>
    <n v="6758177505"/>
    <s v="RTA"/>
    <s v="501V"/>
    <x v="0"/>
    <n v="2990"/>
  </r>
  <r>
    <n v="5115061689"/>
    <s v="SL"/>
    <s v="16894"/>
    <x v="0"/>
    <n v="2840"/>
  </r>
  <r>
    <n v="5418968184"/>
    <s v="SJ"/>
    <s v="O62FG"/>
    <x v="1"/>
    <n v="1929"/>
  </r>
  <r>
    <n v="2581219876"/>
    <s v="NEB"/>
    <s v="H724"/>
    <x v="0"/>
    <n v="2506"/>
  </r>
  <r>
    <n v="1127056356"/>
    <s v="PKS"/>
    <s v="W570"/>
    <x v="1"/>
    <n v="2924"/>
  </r>
  <r>
    <n v="5528435390"/>
    <s v="SJ"/>
    <s v="A38DW"/>
    <x v="0"/>
    <n v="2283"/>
  </r>
  <r>
    <n v="4241680809"/>
    <s v="SJ"/>
    <s v="R78KN"/>
    <x v="0"/>
    <n v="2350"/>
  </r>
  <r>
    <n v="2245871126"/>
    <s v="TBU"/>
    <s v="24274"/>
    <x v="0"/>
    <n v="2340"/>
  </r>
  <r>
    <n v="1620242236"/>
    <s v="PN"/>
    <s v="16900"/>
    <x v="0"/>
    <n v="2368"/>
  </r>
  <r>
    <n v="4796841112"/>
    <s v="DOA"/>
    <s v="D684"/>
    <x v="0"/>
    <n v="3336"/>
  </r>
  <r>
    <n v="3783578981"/>
    <s v="EL"/>
    <s v="27708"/>
    <x v="0"/>
    <n v="2510"/>
  </r>
  <r>
    <n v="5115061689"/>
    <s v="SRS"/>
    <s v="L668"/>
    <x v="0"/>
    <n v="2358"/>
  </r>
  <r>
    <n v="6758177505"/>
    <s v="OPO"/>
    <s v="479M"/>
    <x v="0"/>
    <n v="3104"/>
  </r>
  <r>
    <n v="2138598159"/>
    <s v="NEL"/>
    <s v="P588"/>
    <x v="0"/>
    <n v="2391"/>
  </r>
  <r>
    <n v="1524870307"/>
    <s v="SJ"/>
    <s v="N91XU"/>
    <x v="0"/>
    <n v="2790"/>
  </r>
  <r>
    <n v="4796841112"/>
    <s v="DOA"/>
    <s v="L678"/>
    <x v="0"/>
    <n v="1796"/>
  </r>
  <r>
    <n v="3470453173"/>
    <s v="LC"/>
    <s v="34574"/>
    <x v="0"/>
    <n v="1790"/>
  </r>
  <r>
    <n v="4761158900"/>
    <s v="OKL"/>
    <s v="87574"/>
    <x v="1"/>
    <n v="2460"/>
  </r>
  <r>
    <n v="3866883575"/>
    <s v="LU"/>
    <s v="3561B"/>
    <x v="0"/>
    <n v="3300"/>
  </r>
  <r>
    <n v="4326751508"/>
    <s v="EL"/>
    <s v="60910"/>
    <x v="0"/>
    <n v="2365"/>
  </r>
  <r>
    <n v="1278408463"/>
    <s v="PKO"/>
    <s v="N574"/>
    <x v="1"/>
    <n v="3270"/>
  </r>
  <r>
    <n v="4326751508"/>
    <s v="EL"/>
    <s v="65354"/>
    <x v="0"/>
    <n v="1835"/>
  </r>
  <r>
    <n v="1581329071"/>
    <s v="SJ"/>
    <s v="E95RH"/>
    <x v="1"/>
    <n v="2320"/>
  </r>
  <r>
    <n v="1620242236"/>
    <s v="PN"/>
    <s v="16902"/>
    <x v="0"/>
    <n v="2067"/>
  </r>
  <r>
    <n v="2214740049"/>
    <s v="NBR"/>
    <s v="S706"/>
    <x v="0"/>
    <n v="2366"/>
  </r>
  <r>
    <n v="1433397952"/>
    <s v="PN"/>
    <s v="3631H"/>
    <x v="0"/>
    <n v="1990"/>
  </r>
  <r>
    <n v="2581219876"/>
    <s v="NEB"/>
    <s v="94MD"/>
    <x v="1"/>
    <n v="2120"/>
  </r>
  <r>
    <n v="3470453173"/>
    <s v="LC"/>
    <s v="34576"/>
    <x v="1"/>
    <n v="1620"/>
  </r>
  <r>
    <n v="4761158900"/>
    <s v="OKL"/>
    <s v="76464"/>
    <x v="0"/>
    <n v="2080"/>
  </r>
  <r>
    <n v="1820566794"/>
    <s v="PP"/>
    <s v="27102"/>
    <x v="1"/>
    <n v="2658"/>
  </r>
  <r>
    <n v="4761158900"/>
    <s v="OKL"/>
    <s v="80908"/>
    <x v="1"/>
    <n v="2582"/>
  </r>
  <r>
    <n v="1278408463"/>
    <s v="PKO"/>
    <s v="25JE"/>
    <x v="1"/>
    <n v="2852"/>
  </r>
  <r>
    <n v="5229945534"/>
    <s v="SJ"/>
    <s v="G40VV"/>
    <x v="0"/>
    <n v="1968"/>
  </r>
  <r>
    <n v="3783578981"/>
    <s v="EL"/>
    <s v="28718"/>
    <x v="0"/>
    <n v="3160"/>
  </r>
  <r>
    <n v="4458233905"/>
    <s v="DW"/>
    <s v="45333"/>
    <x v="1"/>
    <n v="2022"/>
  </r>
  <r>
    <n v="1871447797"/>
    <s v="SJ"/>
    <s v="O54JT"/>
    <x v="0"/>
    <n v="2350"/>
  </r>
  <r>
    <n v="4761158900"/>
    <s v="OKL"/>
    <s v="82019"/>
    <x v="1"/>
    <n v="2468"/>
  </r>
  <r>
    <n v="2581219876"/>
    <s v="NEB"/>
    <s v="6C31"/>
    <x v="0"/>
    <n v="2610"/>
  </r>
  <r>
    <n v="4580185570"/>
    <s v="SJ"/>
    <s v="JJ547"/>
    <x v="1"/>
    <n v="3204"/>
  </r>
  <r>
    <n v="1599095267"/>
    <s v="SJ"/>
    <s v="PP132"/>
    <x v="1"/>
    <n v="2516"/>
  </r>
  <r>
    <n v="3357631311"/>
    <s v="LZA"/>
    <s v="V638"/>
    <x v="1"/>
    <n v="1792"/>
  </r>
  <r>
    <n v="4241680809"/>
    <s v="SO"/>
    <s v="RH348"/>
    <x v="0"/>
    <n v="2885"/>
  </r>
  <r>
    <n v="2281651150"/>
    <s v="NOL"/>
    <s v="16LG"/>
    <x v="1"/>
    <n v="2550"/>
  </r>
  <r>
    <n v="4779174699"/>
    <s v="DW"/>
    <s v="3881E"/>
    <x v="0"/>
    <n v="2362"/>
  </r>
  <r>
    <n v="5624201652"/>
    <s v="STA"/>
    <s v="97AK"/>
    <x v="0"/>
    <n v="3216"/>
  </r>
  <r>
    <n v="3866883575"/>
    <s v="LU"/>
    <s v="16798"/>
    <x v="1"/>
    <n v="2034"/>
  </r>
  <r>
    <n v="4796841112"/>
    <s v="DOA"/>
    <s v="K674"/>
    <x v="1"/>
    <n v="1885"/>
  </r>
  <r>
    <n v="5341884086"/>
    <s v="SO"/>
    <s v="SB135"/>
    <x v="1"/>
    <n v="2490"/>
  </r>
  <r>
    <n v="4779174699"/>
    <s v="DW"/>
    <s v="3831W"/>
    <x v="0"/>
    <n v="2580"/>
  </r>
  <r>
    <n v="5514533376"/>
    <s v="SB"/>
    <s v="26698"/>
    <x v="0"/>
    <n v="2634"/>
  </r>
  <r>
    <n v="3470453173"/>
    <s v="LC"/>
    <s v="7901K"/>
    <x v="1"/>
    <n v="2584"/>
  </r>
  <r>
    <n v="4796841112"/>
    <s v="DOA"/>
    <s v="U676"/>
    <x v="0"/>
    <n v="2576"/>
  </r>
  <r>
    <n v="5266741491"/>
    <s v="SO"/>
    <s v="P44AB"/>
    <x v="1"/>
    <n v="1946"/>
  </r>
  <r>
    <n v="4715154852"/>
    <s v="DW"/>
    <s v="23613"/>
    <x v="0"/>
    <n v="2880"/>
  </r>
  <r>
    <n v="5418968184"/>
    <s v="SO"/>
    <s v="O64VB"/>
    <x v="0"/>
    <n v="2630"/>
  </r>
  <r>
    <n v="1599095267"/>
    <s v="SO"/>
    <s v="PL129"/>
    <x v="1"/>
    <n v="2112"/>
  </r>
  <r>
    <n v="1433397952"/>
    <s v="PN"/>
    <s v="3621I"/>
    <x v="0"/>
    <n v="2928"/>
  </r>
  <r>
    <n v="2281651150"/>
    <s v="NOL"/>
    <s v="N650"/>
    <x v="1"/>
    <n v="2295"/>
  </r>
  <r>
    <n v="5341884086"/>
    <s v="SO"/>
    <s v="S34YB"/>
    <x v="0"/>
    <n v="2556"/>
  </r>
  <r>
    <n v="3568004264"/>
    <s v="LUB"/>
    <s v="Z620"/>
    <x v="0"/>
    <n v="2568"/>
  </r>
  <r>
    <n v="5185759244"/>
    <s v="SO"/>
    <s v="Y28XU"/>
    <x v="0"/>
    <n v="2674"/>
  </r>
  <r>
    <n v="4326751508"/>
    <s v="SB"/>
    <s v="47578"/>
    <x v="0"/>
    <n v="3120"/>
  </r>
  <r>
    <n v="1433397952"/>
    <s v="PN"/>
    <s v="16834"/>
    <x v="1"/>
    <n v="1896"/>
  </r>
  <r>
    <n v="4779174699"/>
    <s v="DW"/>
    <s v="16844"/>
    <x v="1"/>
    <n v="2608"/>
  </r>
  <r>
    <n v="3678947206"/>
    <s v="ONY"/>
    <s v="1267"/>
    <x v="1"/>
    <n v="2154"/>
  </r>
  <r>
    <n v="1939065269"/>
    <s v="PO"/>
    <s v="16882"/>
    <x v="0"/>
    <n v="2328"/>
  </r>
  <r>
    <n v="5514533376"/>
    <s v="DJE"/>
    <s v="25688"/>
    <x v="0"/>
    <n v="2548"/>
  </r>
  <r>
    <n v="5115061689"/>
    <s v="SRS"/>
    <s v="J666"/>
    <x v="1"/>
    <n v="1902"/>
  </r>
  <r>
    <n v="4326751508"/>
    <s v="DJE"/>
    <s v="52022"/>
    <x v="0"/>
    <n v="2456"/>
  </r>
  <r>
    <n v="1278408463"/>
    <s v="PKO"/>
    <s v="94RF"/>
    <x v="1"/>
    <n v="2544"/>
  </r>
  <r>
    <n v="5528435390"/>
    <s v="SO"/>
    <s v="A40FT"/>
    <x v="0"/>
    <n v="3495"/>
  </r>
  <r>
    <n v="2138598159"/>
    <s v="NEL"/>
    <s v="B596"/>
    <x v="0"/>
    <n v="2550"/>
  </r>
  <r>
    <n v="1599095267"/>
    <s v="SO"/>
    <s v="PW131"/>
    <x v="1"/>
    <n v="2448"/>
  </r>
  <r>
    <n v="5341884086"/>
    <s v="SO"/>
    <s v="SX136"/>
    <x v="0"/>
    <n v="3645"/>
  </r>
  <r>
    <n v="1433397952"/>
    <s v="PN"/>
    <s v="16822"/>
    <x v="1"/>
    <n v="2935"/>
  </r>
  <r>
    <n v="2138598159"/>
    <s v="NEL"/>
    <s v="I594"/>
    <x v="1"/>
    <n v="2834"/>
  </r>
  <r>
    <n v="2625657803"/>
    <s v="SO"/>
    <s v="U50HG"/>
    <x v="1"/>
    <n v="1624"/>
  </r>
  <r>
    <n v="1939065269"/>
    <s v="PO"/>
    <s v="3951A"/>
    <x v="0"/>
    <n v="2574"/>
  </r>
  <r>
    <n v="4326751508"/>
    <s v="DJE"/>
    <s v="54244"/>
    <x v="1"/>
    <n v="1806"/>
  </r>
  <r>
    <n v="2138598159"/>
    <s v="NEL"/>
    <s v="H592"/>
    <x v="1"/>
    <n v="3204"/>
  </r>
  <r>
    <n v="4779174699"/>
    <s v="DW"/>
    <s v="3861S"/>
    <x v="1"/>
    <n v="1618"/>
  </r>
  <r>
    <n v="3568004264"/>
    <s v="LUB"/>
    <s v="X626"/>
    <x v="1"/>
    <n v="2720"/>
  </r>
  <r>
    <n v="5115061689"/>
    <s v="SRS"/>
    <s v="18IT"/>
    <x v="1"/>
    <n v="3192"/>
  </r>
  <r>
    <n v="1361555378"/>
    <s v="SZ"/>
    <s v="WS237"/>
    <x v="1"/>
    <n v="2559"/>
  </r>
  <r>
    <n v="3866883575"/>
    <s v="LU"/>
    <s v="16796"/>
    <x v="0"/>
    <n v="2145"/>
  </r>
  <r>
    <n v="4761158900"/>
    <s v="OKL"/>
    <s v="73131"/>
    <x v="0"/>
    <n v="2674"/>
  </r>
  <r>
    <n v="4779174699"/>
    <s v="DW"/>
    <s v="16846"/>
    <x v="0"/>
    <n v="2192"/>
  </r>
  <r>
    <n v="6727559092"/>
    <s v="OPO"/>
    <s v="345G"/>
    <x v="0"/>
    <n v="2480"/>
  </r>
  <r>
    <n v="4761158900"/>
    <s v="BIA"/>
    <s v="78686"/>
    <x v="1"/>
    <n v="2578"/>
  </r>
  <r>
    <n v="4761158900"/>
    <s v="BIA"/>
    <s v="77575"/>
    <x v="1"/>
    <n v="1774"/>
  </r>
  <r>
    <n v="2394072755"/>
    <s v="SZ"/>
    <s v="EU125"/>
    <x v="1"/>
    <n v="750"/>
  </r>
  <r>
    <n v="1939065269"/>
    <s v="PO"/>
    <s v="16888"/>
    <x v="0"/>
    <n v="2562"/>
  </r>
  <r>
    <n v="3114182744"/>
    <s v="SZ"/>
    <s v="S97VV"/>
    <x v="0"/>
    <n v="1959"/>
  </r>
  <r>
    <n v="4326751508"/>
    <s v="EL"/>
    <s v="62021"/>
    <x v="0"/>
    <n v="2624"/>
  </r>
  <r>
    <n v="4326751508"/>
    <s v="DJE"/>
    <s v="50911"/>
    <x v="1"/>
    <n v="2760"/>
  </r>
  <r>
    <n v="3568004264"/>
    <s v="LUB"/>
    <s v="D622"/>
    <x v="0"/>
    <n v="2404"/>
  </r>
  <r>
    <n v="1278408463"/>
    <s v="PN"/>
    <s v="16780"/>
    <x v="0"/>
    <n v="2328"/>
  </r>
  <r>
    <n v="5185759244"/>
    <s v="SZ"/>
    <s v="Y26SL"/>
    <x v="1"/>
    <n v="2610"/>
  </r>
  <r>
    <n v="4761158900"/>
    <s v="BIA"/>
    <s v="75353"/>
    <x v="0"/>
    <n v="2010"/>
  </r>
  <r>
    <n v="4326751508"/>
    <s v="PL"/>
    <s v="68687"/>
    <x v="0"/>
    <n v="2196"/>
  </r>
  <r>
    <n v="6758177505"/>
    <s v="OPO"/>
    <s v="523S"/>
    <x v="1"/>
    <n v="2095"/>
  </r>
  <r>
    <n v="1617995032"/>
    <s v="PTU"/>
    <s v="J688"/>
    <x v="0"/>
    <n v="1899"/>
  </r>
  <r>
    <n v="1433397952"/>
    <s v="PN"/>
    <s v="3651R"/>
    <x v="1"/>
    <n v="2180"/>
  </r>
  <r>
    <n v="5115061689"/>
    <s v="SRS"/>
    <s v="G664"/>
    <x v="1"/>
    <n v="1864"/>
  </r>
  <r>
    <n v="4761158900"/>
    <s v="BIA"/>
    <s v="84241"/>
    <x v="1"/>
    <n v="2172"/>
  </r>
  <r>
    <n v="4761158900"/>
    <s v="BIA"/>
    <s v="85352"/>
    <x v="0"/>
    <n v="1950"/>
  </r>
  <r>
    <n v="2119268767"/>
    <s v="NEB"/>
    <s v="V602"/>
    <x v="1"/>
    <n v="2115"/>
  </r>
  <r>
    <n v="3866883575"/>
    <s v="LU"/>
    <s v="16790"/>
    <x v="1"/>
    <n v="2457"/>
  </r>
  <r>
    <n v="2394072755"/>
    <s v="SZ"/>
    <s v="ET124"/>
    <x v="1"/>
    <n v="2792"/>
  </r>
  <r>
    <n v="6758177505"/>
    <s v="OPO"/>
    <s v="567K"/>
    <x v="1"/>
    <n v="2915"/>
  </r>
  <r>
    <n v="4326751508"/>
    <s v="PL"/>
    <s v="63132"/>
    <x v="0"/>
    <n v="1515"/>
  </r>
  <r>
    <n v="2394072755"/>
    <s v="SZ"/>
    <s v="EU126"/>
    <x v="1"/>
    <n v="2330"/>
  </r>
  <r>
    <n v="4326751508"/>
    <s v="PL"/>
    <s v="66465"/>
    <x v="0"/>
    <n v="2245"/>
  </r>
  <r>
    <n v="5341884086"/>
    <s v="SZ"/>
    <s v="S45UV"/>
    <x v="0"/>
    <n v="2880"/>
  </r>
  <r>
    <n v="1581329071"/>
    <s v="SZ"/>
    <s v="E94CB"/>
    <x v="0"/>
    <n v="2270"/>
  </r>
  <r>
    <n v="5341884086"/>
    <s v="SZ"/>
    <s v="SD137"/>
    <x v="0"/>
    <n v="2748"/>
  </r>
  <r>
    <n v="4241680809"/>
    <s v="SZ"/>
    <s v="R80LN"/>
    <x v="1"/>
    <n v="1995"/>
  </r>
  <r>
    <n v="5229945534"/>
    <s v="SZ"/>
    <s v="G36RH"/>
    <x v="0"/>
    <n v="3276"/>
  </r>
  <r>
    <n v="2281651150"/>
    <s v="NOL"/>
    <s v="99KC"/>
    <x v="0"/>
    <n v="1622"/>
  </r>
  <r>
    <n v="6727559092"/>
    <s v="OPO"/>
    <s v="378G"/>
    <x v="1"/>
    <n v="2208"/>
  </r>
  <r>
    <n v="3678947206"/>
    <s v="ONY"/>
    <s v="1278"/>
    <x v="0"/>
    <n v="2065"/>
  </r>
  <r>
    <n v="2119268767"/>
    <s v="NEB"/>
    <s v="T600"/>
    <x v="1"/>
    <n v="1772"/>
  </r>
  <r>
    <n v="3568004264"/>
    <s v="LUB"/>
    <s v="63AR"/>
    <x v="1"/>
    <n v="2175"/>
  </r>
  <r>
    <n v="4326751508"/>
    <s v="DJE"/>
    <s v="53133"/>
    <x v="1"/>
    <n v="2958"/>
  </r>
  <r>
    <n v="4796841112"/>
    <s v="DOA"/>
    <s v="I680"/>
    <x v="0"/>
    <n v="2792"/>
  </r>
  <r>
    <n v="2138598159"/>
    <s v="NEL"/>
    <s v="M590"/>
    <x v="0"/>
    <n v="2049"/>
  </r>
  <r>
    <n v="1617995032"/>
    <s v="PTU"/>
    <s v="5F12"/>
    <x v="1"/>
    <n v="1946"/>
  </r>
  <r>
    <n v="1278408463"/>
    <s v="PKO"/>
    <s v="F572"/>
    <x v="0"/>
    <n v="2722"/>
  </r>
  <r>
    <n v="3345883725"/>
    <s v="LUB"/>
    <s v="J742"/>
    <x v="1"/>
    <n v="2344"/>
  </r>
  <r>
    <n v="5528435390"/>
    <s v="SZ"/>
    <s v="A42FY"/>
    <x v="1"/>
    <n v="2465"/>
  </r>
  <r>
    <n v="3783578981"/>
    <s v="PL"/>
    <s v="27910"/>
    <x v="1"/>
    <n v="2174"/>
  </r>
  <r>
    <n v="4761158900"/>
    <s v="BIA"/>
    <s v="79797"/>
    <x v="0"/>
    <n v="1812"/>
  </r>
  <r>
    <n v="4715154852"/>
    <s v="DW"/>
    <s v="601H"/>
    <x v="0"/>
    <n v="2800"/>
  </r>
  <r>
    <n v="2581219876"/>
    <s v="NEB"/>
    <s v="U728"/>
    <x v="1"/>
    <n v="2478"/>
  </r>
  <r>
    <n v="2245871126"/>
    <s v="TBU"/>
    <s v="23870"/>
    <x v="0"/>
    <n v="2562"/>
  </r>
  <r>
    <n v="6727559092"/>
    <s v="OPO"/>
    <s v="268H"/>
    <x v="1"/>
    <n v="980"/>
  </r>
  <r>
    <n v="1361555378"/>
    <s v="SZ"/>
    <s v="WB235"/>
    <x v="1"/>
    <n v="2325"/>
  </r>
  <r>
    <n v="5418968184"/>
    <s v="SZ"/>
    <s v="O58CY"/>
    <x v="1"/>
    <n v="1830"/>
  </r>
  <r>
    <n v="1165493421"/>
    <s v="SZ"/>
    <s v="L72WG"/>
    <x v="0"/>
    <n v="3122"/>
  </r>
  <r>
    <n v="1433397952"/>
    <s v="PN"/>
    <s v="16828"/>
    <x v="0"/>
    <n v="2660"/>
  </r>
  <r>
    <n v="6727559092"/>
    <s v="STA"/>
    <s v="334F"/>
    <x v="0"/>
    <n v="2822"/>
  </r>
  <r>
    <n v="5514533376"/>
    <s v="DJE"/>
    <s v="25890"/>
    <x v="0"/>
    <n v="2895"/>
  </r>
  <r>
    <n v="3866883575"/>
    <s v="LU"/>
    <s v="3601Y"/>
    <x v="0"/>
    <n v="2638"/>
  </r>
  <r>
    <n v="1433397952"/>
    <s v="PN"/>
    <s v="3641B"/>
    <x v="0"/>
    <n v="2018"/>
  </r>
  <r>
    <n v="4779174699"/>
    <s v="DW"/>
    <s v="16848"/>
    <x v="0"/>
    <n v="1600"/>
  </r>
  <r>
    <n v="4326751508"/>
    <s v="PL"/>
    <s v="67576"/>
    <x v="0"/>
    <n v="1800"/>
  </r>
  <r>
    <n v="4761158900"/>
    <s v="BIA"/>
    <s v="72020"/>
    <x v="0"/>
    <n v="3144"/>
  </r>
  <r>
    <n v="2119268767"/>
    <s v="NEB"/>
    <s v="D604"/>
    <x v="0"/>
    <n v="1740"/>
  </r>
  <r>
    <n v="2581219876"/>
    <s v="NEB"/>
    <s v="Y726"/>
    <x v="0"/>
    <n v="2490"/>
  </r>
  <r>
    <n v="2281651150"/>
    <s v="NOL"/>
    <s v="Y648"/>
    <x v="1"/>
    <n v="2170"/>
  </r>
  <r>
    <n v="1599095267"/>
    <s v="SZ"/>
    <s v="PR133"/>
    <x v="0"/>
    <n v="2238"/>
  </r>
  <r>
    <n v="3783578981"/>
    <s v="PL"/>
    <s v="28516"/>
    <x v="1"/>
    <n v="2642"/>
  </r>
  <r>
    <n v="4779174699"/>
    <s v="DW"/>
    <s v="16850"/>
    <x v="0"/>
    <n v="1575"/>
  </r>
  <r>
    <n v="4580185570"/>
    <s v="SZ"/>
    <s v="JG549"/>
    <x v="0"/>
    <n v="1623"/>
  </r>
  <r>
    <n v="6727559092"/>
    <s v="STA"/>
    <s v="290G"/>
    <x v="1"/>
    <n v="2550"/>
  </r>
  <r>
    <n v="6727559092"/>
    <s v="STA"/>
    <s v="312W"/>
    <x v="0"/>
    <n v="2384"/>
  </r>
  <r>
    <n v="5418968184"/>
    <s v="SR"/>
    <s v="O66QH"/>
    <x v="1"/>
    <n v="2364"/>
  </r>
  <r>
    <n v="5514533376"/>
    <s v="DJE"/>
    <s v="26496"/>
    <x v="0"/>
    <n v="2642"/>
  </r>
  <r>
    <n v="3579231044"/>
    <s v="LLE"/>
    <s v="R714"/>
    <x v="0"/>
    <n v="3002"/>
  </r>
  <r>
    <n v="4458233905"/>
    <s v="DW"/>
    <s v="56456"/>
    <x v="0"/>
    <n v="3128"/>
  </r>
  <r>
    <n v="1939065269"/>
    <s v="PO"/>
    <s v="16884"/>
    <x v="1"/>
    <n v="1980"/>
  </r>
  <r>
    <n v="3345883725"/>
    <s v="LUB"/>
    <s v="I740"/>
    <x v="1"/>
    <n v="2784"/>
  </r>
  <r>
    <n v="3357631311"/>
    <s v="LZA"/>
    <s v="T642"/>
    <x v="0"/>
    <n v="2014"/>
  </r>
  <r>
    <n v="2869229213"/>
    <s v="SR"/>
    <s v="K34AW"/>
    <x v="1"/>
    <n v="1280"/>
  </r>
  <r>
    <n v="1599095267"/>
    <s v="SR"/>
    <s v="PS130"/>
    <x v="1"/>
    <n v="2796"/>
  </r>
  <r>
    <n v="3678947206"/>
    <s v="ONY"/>
    <s v="1289"/>
    <x v="1"/>
    <n v="2475"/>
  </r>
  <r>
    <n v="2245871126"/>
    <s v="TBU"/>
    <s v="23668"/>
    <x v="1"/>
    <n v="1806"/>
  </r>
  <r>
    <n v="5115061689"/>
    <s v="SRS"/>
    <s v="20AF"/>
    <x v="1"/>
    <n v="2595"/>
  </r>
  <r>
    <n v="1620242236"/>
    <s v="PN"/>
    <s v="4121F"/>
    <x v="0"/>
    <n v="2836"/>
  </r>
  <r>
    <n v="3318203338"/>
    <s v="SR"/>
    <s v="L45QM"/>
    <x v="1"/>
    <n v="2349"/>
  </r>
  <r>
    <n v="3357631311"/>
    <s v="LZA"/>
    <s v="H640"/>
    <x v="1"/>
    <n v="2870"/>
  </r>
  <r>
    <n v="4580185570"/>
    <s v="SR"/>
    <s v="JH548"/>
    <x v="1"/>
    <n v="2616"/>
  </r>
  <r>
    <n v="6758177505"/>
    <s v="STA"/>
    <s v="534U"/>
    <x v="0"/>
    <n v="2523"/>
  </r>
  <r>
    <n v="3568004264"/>
    <s v="LUB"/>
    <s v="G634"/>
    <x v="0"/>
    <n v="2060"/>
  </r>
  <r>
    <n v="3470453173"/>
    <s v="LC"/>
    <s v="7891Q"/>
    <x v="1"/>
    <n v="2151"/>
  </r>
  <r>
    <n v="3866883575"/>
    <s v="LU"/>
    <s v="3591T"/>
    <x v="1"/>
    <n v="2818"/>
  </r>
  <r>
    <n v="1433397952"/>
    <s v="PN"/>
    <s v="3661T"/>
    <x v="1"/>
    <n v="1851"/>
  </r>
  <r>
    <n v="3470453173"/>
    <s v="LC"/>
    <s v="7899B"/>
    <x v="0"/>
    <n v="2062"/>
  </r>
  <r>
    <n v="6758177505"/>
    <s v="STA"/>
    <s v="457K"/>
    <x v="1"/>
    <n v="2258"/>
  </r>
  <r>
    <n v="5266741491"/>
    <s v="SR"/>
    <s v="P46ZH"/>
    <x v="1"/>
    <n v="1774"/>
  </r>
  <r>
    <n v="2214740049"/>
    <s v="NBR"/>
    <s v="X708"/>
    <x v="1"/>
    <n v="2066"/>
  </r>
  <r>
    <n v="1433397952"/>
    <s v="PN"/>
    <s v="16826"/>
    <x v="1"/>
    <n v="1626"/>
  </r>
  <r>
    <n v="4326751508"/>
    <s v="DJE"/>
    <s v="46467"/>
    <x v="1"/>
    <n v="1601"/>
  </r>
  <r>
    <n v="1433397952"/>
    <s v="PN"/>
    <s v="16824"/>
    <x v="1"/>
    <n v="2865"/>
  </r>
  <r>
    <n v="2281651150"/>
    <s v="NOL"/>
    <s v="J646"/>
    <x v="0"/>
    <n v="2136"/>
  </r>
  <r>
    <n v="5581610439"/>
    <s v="SPI"/>
    <s v="O750"/>
    <x v="1"/>
    <n v="23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n v="6727559092"/>
    <x v="0"/>
    <x v="0"/>
    <s v="L"/>
    <n v="1240"/>
    <x v="0"/>
    <x v="0"/>
  </r>
  <r>
    <n v="3866883575"/>
    <x v="1"/>
    <x v="1"/>
    <s v="L"/>
    <n v="3022"/>
    <x v="1"/>
    <x v="0"/>
  </r>
  <r>
    <n v="1165493421"/>
    <x v="2"/>
    <x v="2"/>
    <s v="L"/>
    <n v="1770"/>
    <x v="2"/>
    <x v="0"/>
  </r>
  <r>
    <n v="2138598159"/>
    <x v="3"/>
    <x v="3"/>
    <s v="L"/>
    <n v="2272"/>
    <x v="3"/>
    <x v="0"/>
  </r>
  <r>
    <n v="1617995032"/>
    <x v="4"/>
    <x v="4"/>
    <s v="L"/>
    <n v="2253"/>
    <x v="4"/>
    <x v="0"/>
  </r>
  <r>
    <n v="2625657803"/>
    <x v="2"/>
    <x v="5"/>
    <s v="W"/>
    <n v="2349"/>
    <x v="5"/>
    <x v="0"/>
  </r>
  <r>
    <n v="6758177505"/>
    <x v="0"/>
    <x v="6"/>
    <s v="W"/>
    <n v="2154"/>
    <x v="6"/>
    <x v="0"/>
  </r>
  <r>
    <n v="4531538788"/>
    <x v="2"/>
    <x v="7"/>
    <s v="L"/>
    <n v="2385"/>
    <x v="7"/>
    <x v="0"/>
  </r>
  <r>
    <n v="2138598159"/>
    <x v="3"/>
    <x v="8"/>
    <s v="W"/>
    <n v="2370"/>
    <x v="8"/>
    <x v="0"/>
  </r>
  <r>
    <n v="1818291355"/>
    <x v="2"/>
    <x v="9"/>
    <s v="L"/>
    <n v="1862"/>
    <x v="9"/>
    <x v="0"/>
  </r>
  <r>
    <n v="2599394621"/>
    <x v="2"/>
    <x v="10"/>
    <s v="W"/>
    <n v="2508"/>
    <x v="10"/>
    <x v="0"/>
  </r>
  <r>
    <n v="4653095092"/>
    <x v="5"/>
    <x v="11"/>
    <s v="L"/>
    <n v="2502"/>
    <x v="11"/>
    <x v="0"/>
  </r>
  <r>
    <n v="5229945534"/>
    <x v="2"/>
    <x v="12"/>
    <s v="W"/>
    <n v="2674"/>
    <x v="12"/>
    <x v="0"/>
  </r>
  <r>
    <n v="3743661247"/>
    <x v="2"/>
    <x v="13"/>
    <s v="W"/>
    <n v="2176"/>
    <x v="13"/>
    <x v="0"/>
  </r>
  <r>
    <n v="4779174699"/>
    <x v="6"/>
    <x v="14"/>
    <s v="W"/>
    <n v="1875"/>
    <x v="14"/>
    <x v="0"/>
  </r>
  <r>
    <n v="4715154852"/>
    <x v="6"/>
    <x v="15"/>
    <s v="L"/>
    <n v="2520"/>
    <x v="15"/>
    <x v="0"/>
  </r>
  <r>
    <n v="6758177505"/>
    <x v="0"/>
    <x v="16"/>
    <s v="L"/>
    <n v="2984"/>
    <x v="16"/>
    <x v="0"/>
  </r>
  <r>
    <n v="2581219876"/>
    <x v="7"/>
    <x v="17"/>
    <s v="W"/>
    <n v="2685"/>
    <x v="17"/>
    <x v="0"/>
  </r>
  <r>
    <n v="3568004264"/>
    <x v="8"/>
    <x v="18"/>
    <s v="L"/>
    <n v="2438"/>
    <x v="18"/>
    <x v="0"/>
  </r>
  <r>
    <n v="6727559092"/>
    <x v="0"/>
    <x v="19"/>
    <s v="W"/>
    <n v="2435"/>
    <x v="19"/>
    <x v="0"/>
  </r>
  <r>
    <n v="5418968184"/>
    <x v="2"/>
    <x v="20"/>
    <s v="L"/>
    <n v="1806"/>
    <x v="20"/>
    <x v="0"/>
  </r>
  <r>
    <n v="4956781088"/>
    <x v="9"/>
    <x v="21"/>
    <s v="W"/>
    <n v="2156"/>
    <x v="21"/>
    <x v="0"/>
  </r>
  <r>
    <n v="5341884086"/>
    <x v="2"/>
    <x v="22"/>
    <s v="W"/>
    <n v="1908"/>
    <x v="22"/>
    <x v="0"/>
  </r>
  <r>
    <n v="1939065269"/>
    <x v="10"/>
    <x v="23"/>
    <s v="W"/>
    <n v="3156"/>
    <x v="23"/>
    <x v="0"/>
  </r>
  <r>
    <n v="4715154852"/>
    <x v="6"/>
    <x v="24"/>
    <s v="L"/>
    <n v="2276"/>
    <x v="24"/>
    <x v="0"/>
  </r>
  <r>
    <n v="5115061689"/>
    <x v="11"/>
    <x v="25"/>
    <s v="W"/>
    <n v="1627"/>
    <x v="25"/>
    <x v="0"/>
  </r>
  <r>
    <n v="4326751508"/>
    <x v="12"/>
    <x v="26"/>
    <s v="W"/>
    <n v="2060"/>
    <x v="26"/>
    <x v="0"/>
  </r>
  <r>
    <n v="1581329071"/>
    <x v="2"/>
    <x v="27"/>
    <s v="W"/>
    <n v="2236"/>
    <x v="27"/>
    <x v="0"/>
  </r>
  <r>
    <n v="4326751508"/>
    <x v="12"/>
    <x v="28"/>
    <s v="L"/>
    <n v="2000"/>
    <x v="28"/>
    <x v="0"/>
  </r>
  <r>
    <n v="3470453173"/>
    <x v="13"/>
    <x v="29"/>
    <s v="L"/>
    <n v="2040"/>
    <x v="29"/>
    <x v="0"/>
  </r>
  <r>
    <n v="1433397952"/>
    <x v="14"/>
    <x v="30"/>
    <s v="W"/>
    <n v="2734"/>
    <x v="30"/>
    <x v="1"/>
  </r>
  <r>
    <n v="3783578981"/>
    <x v="15"/>
    <x v="31"/>
    <s v="L"/>
    <n v="1935"/>
    <x v="31"/>
    <x v="0"/>
  </r>
  <r>
    <n v="2581219876"/>
    <x v="7"/>
    <x v="32"/>
    <s v="W"/>
    <n v="2818"/>
    <x v="32"/>
    <x v="0"/>
  </r>
  <r>
    <n v="4796841112"/>
    <x v="16"/>
    <x v="33"/>
    <s v="L"/>
    <n v="2668"/>
    <x v="33"/>
    <x v="0"/>
  </r>
  <r>
    <n v="4715154852"/>
    <x v="6"/>
    <x v="34"/>
    <s v="W"/>
    <n v="2700"/>
    <x v="34"/>
    <x v="0"/>
  </r>
  <r>
    <n v="4241680809"/>
    <x v="2"/>
    <x v="35"/>
    <s v="W"/>
    <n v="2496"/>
    <x v="35"/>
    <x v="0"/>
  </r>
  <r>
    <n v="1617995032"/>
    <x v="4"/>
    <x v="36"/>
    <s v="W"/>
    <n v="2148"/>
    <x v="36"/>
    <x v="0"/>
  </r>
  <r>
    <n v="1433397952"/>
    <x v="14"/>
    <x v="37"/>
    <s v="L"/>
    <n v="2160"/>
    <x v="37"/>
    <x v="1"/>
  </r>
  <r>
    <n v="4326751508"/>
    <x v="15"/>
    <x v="38"/>
    <s v="W"/>
    <n v="2056"/>
    <x v="38"/>
    <x v="0"/>
  </r>
  <r>
    <n v="1246489959"/>
    <x v="2"/>
    <x v="39"/>
    <s v="W"/>
    <n v="1812"/>
    <x v="39"/>
    <x v="0"/>
  </r>
  <r>
    <n v="4241680809"/>
    <x v="2"/>
    <x v="40"/>
    <s v="W"/>
    <n v="2664"/>
    <x v="40"/>
    <x v="0"/>
  </r>
  <r>
    <n v="3470453173"/>
    <x v="13"/>
    <x v="41"/>
    <s v="W"/>
    <n v="2872"/>
    <x v="41"/>
    <x v="0"/>
  </r>
  <r>
    <n v="3568004264"/>
    <x v="8"/>
    <x v="42"/>
    <s v="W"/>
    <n v="1928"/>
    <x v="42"/>
    <x v="0"/>
  </r>
  <r>
    <n v="1617995032"/>
    <x v="4"/>
    <x v="43"/>
    <s v="W"/>
    <n v="2194"/>
    <x v="43"/>
    <x v="0"/>
  </r>
  <r>
    <n v="2119268767"/>
    <x v="7"/>
    <x v="44"/>
    <s v="W"/>
    <n v="2114"/>
    <x v="44"/>
    <x v="0"/>
  </r>
  <r>
    <n v="5341884086"/>
    <x v="17"/>
    <x v="45"/>
    <s v="W"/>
    <n v="2364"/>
    <x v="45"/>
    <x v="0"/>
  </r>
  <r>
    <n v="4779174699"/>
    <x v="6"/>
    <x v="46"/>
    <s v="W"/>
    <n v="2462"/>
    <x v="46"/>
    <x v="0"/>
  </r>
  <r>
    <n v="1939065269"/>
    <x v="10"/>
    <x v="47"/>
    <s v="W"/>
    <n v="2696"/>
    <x v="47"/>
    <x v="0"/>
  </r>
  <r>
    <n v="1939065269"/>
    <x v="10"/>
    <x v="48"/>
    <s v="L"/>
    <n v="2073"/>
    <x v="48"/>
    <x v="0"/>
  </r>
  <r>
    <n v="5459753232"/>
    <x v="18"/>
    <x v="49"/>
    <s v="W"/>
    <n v="1629"/>
    <x v="49"/>
    <x v="0"/>
  </r>
  <r>
    <n v="4761158900"/>
    <x v="19"/>
    <x v="50"/>
    <s v="W"/>
    <n v="2139"/>
    <x v="50"/>
    <x v="0"/>
  </r>
  <r>
    <n v="1127056356"/>
    <x v="20"/>
    <x v="51"/>
    <s v="W"/>
    <n v="2944"/>
    <x v="51"/>
    <x v="0"/>
  </r>
  <r>
    <n v="1361555378"/>
    <x v="17"/>
    <x v="52"/>
    <s v="L"/>
    <n v="2250"/>
    <x v="52"/>
    <x v="0"/>
  </r>
  <r>
    <n v="1278408463"/>
    <x v="14"/>
    <x v="53"/>
    <s v="W"/>
    <n v="2190"/>
    <x v="53"/>
    <x v="0"/>
  </r>
  <r>
    <n v="3114182744"/>
    <x v="17"/>
    <x v="54"/>
    <s v="W"/>
    <n v="2074"/>
    <x v="54"/>
    <x v="0"/>
  </r>
  <r>
    <n v="4458233905"/>
    <x v="6"/>
    <x v="55"/>
    <s v="L"/>
    <n v="1200"/>
    <x v="55"/>
    <x v="0"/>
  </r>
  <r>
    <n v="1617995032"/>
    <x v="4"/>
    <x v="56"/>
    <s v="L"/>
    <n v="1965"/>
    <x v="56"/>
    <x v="0"/>
  </r>
  <r>
    <n v="4761158900"/>
    <x v="19"/>
    <x v="57"/>
    <s v="L"/>
    <n v="1894"/>
    <x v="57"/>
    <x v="0"/>
  </r>
  <r>
    <n v="4241680809"/>
    <x v="17"/>
    <x v="58"/>
    <s v="W"/>
    <n v="1946"/>
    <x v="58"/>
    <x v="0"/>
  </r>
  <r>
    <n v="1524870307"/>
    <x v="17"/>
    <x v="59"/>
    <s v="L"/>
    <n v="1810"/>
    <x v="59"/>
    <x v="0"/>
  </r>
  <r>
    <n v="1818291355"/>
    <x v="17"/>
    <x v="60"/>
    <s v="L"/>
    <n v="2448"/>
    <x v="60"/>
    <x v="0"/>
  </r>
  <r>
    <n v="4653095092"/>
    <x v="5"/>
    <x v="61"/>
    <s v="W"/>
    <n v="1995"/>
    <x v="61"/>
    <x v="0"/>
  </r>
  <r>
    <n v="6758177505"/>
    <x v="0"/>
    <x v="62"/>
    <s v="L"/>
    <n v="2216"/>
    <x v="62"/>
    <x v="0"/>
  </r>
  <r>
    <n v="1278408463"/>
    <x v="14"/>
    <x v="63"/>
    <s v="L"/>
    <n v="2226"/>
    <x v="63"/>
    <x v="0"/>
  </r>
  <r>
    <n v="3318203338"/>
    <x v="17"/>
    <x v="64"/>
    <s v="L"/>
    <n v="2640"/>
    <x v="64"/>
    <x v="0"/>
  </r>
  <r>
    <n v="1617995032"/>
    <x v="4"/>
    <x v="65"/>
    <s v="L"/>
    <n v="2358"/>
    <x v="65"/>
    <x v="0"/>
  </r>
  <r>
    <n v="4458233905"/>
    <x v="6"/>
    <x v="66"/>
    <s v="W"/>
    <n v="2175"/>
    <x v="66"/>
    <x v="0"/>
  </r>
  <r>
    <n v="1361555378"/>
    <x v="17"/>
    <x v="67"/>
    <s v="L"/>
    <n v="2972"/>
    <x v="67"/>
    <x v="0"/>
  </r>
  <r>
    <n v="6758177505"/>
    <x v="21"/>
    <x v="68"/>
    <s v="L"/>
    <n v="1779"/>
    <x v="68"/>
    <x v="0"/>
  </r>
  <r>
    <n v="3318203338"/>
    <x v="17"/>
    <x v="69"/>
    <s v="W"/>
    <n v="2165"/>
    <x v="69"/>
    <x v="0"/>
  </r>
  <r>
    <n v="5459753232"/>
    <x v="18"/>
    <x v="70"/>
    <s v="L"/>
    <n v="2758"/>
    <x v="70"/>
    <x v="0"/>
  </r>
  <r>
    <n v="4326751508"/>
    <x v="12"/>
    <x v="71"/>
    <s v="W"/>
    <n v="2198"/>
    <x v="71"/>
    <x v="0"/>
  </r>
  <r>
    <n v="4326751508"/>
    <x v="12"/>
    <x v="72"/>
    <s v="W"/>
    <n v="1902"/>
    <x v="72"/>
    <x v="0"/>
  </r>
  <r>
    <n v="4458233905"/>
    <x v="17"/>
    <x v="73"/>
    <s v="W"/>
    <n v="2318"/>
    <x v="73"/>
    <x v="0"/>
  </r>
  <r>
    <n v="3470453173"/>
    <x v="13"/>
    <x v="74"/>
    <s v="L"/>
    <n v="2415"/>
    <x v="74"/>
    <x v="0"/>
  </r>
  <r>
    <n v="1524870307"/>
    <x v="17"/>
    <x v="75"/>
    <s v="W"/>
    <n v="1893"/>
    <x v="75"/>
    <x v="0"/>
  </r>
  <r>
    <n v="2245871126"/>
    <x v="22"/>
    <x v="76"/>
    <s v="W"/>
    <n v="1950"/>
    <x v="76"/>
    <x v="0"/>
  </r>
  <r>
    <n v="2281651150"/>
    <x v="23"/>
    <x v="77"/>
    <s v="W"/>
    <n v="2575"/>
    <x v="77"/>
    <x v="0"/>
  </r>
  <r>
    <n v="5266741491"/>
    <x v="10"/>
    <x v="78"/>
    <s v="L"/>
    <n v="2565"/>
    <x v="78"/>
    <x v="0"/>
  </r>
  <r>
    <n v="5341884086"/>
    <x v="10"/>
    <x v="79"/>
    <s v="L"/>
    <n v="1970"/>
    <x v="79"/>
    <x v="0"/>
  </r>
  <r>
    <n v="5459753232"/>
    <x v="18"/>
    <x v="80"/>
    <s v="W"/>
    <n v="1950"/>
    <x v="80"/>
    <x v="0"/>
  </r>
  <r>
    <n v="1617995032"/>
    <x v="4"/>
    <x v="81"/>
    <s v="L"/>
    <n v="2448"/>
    <x v="81"/>
    <x v="0"/>
  </r>
  <r>
    <n v="5185759244"/>
    <x v="10"/>
    <x v="82"/>
    <s v="W"/>
    <n v="2688"/>
    <x v="82"/>
    <x v="0"/>
  </r>
  <r>
    <n v="3568004264"/>
    <x v="8"/>
    <x v="83"/>
    <s v="L"/>
    <n v="2185"/>
    <x v="83"/>
    <x v="0"/>
  </r>
  <r>
    <n v="1620242236"/>
    <x v="14"/>
    <x v="84"/>
    <s v="W"/>
    <n v="3192"/>
    <x v="84"/>
    <x v="0"/>
  </r>
  <r>
    <n v="3470453173"/>
    <x v="13"/>
    <x v="85"/>
    <s v="W"/>
    <n v="2464"/>
    <x v="85"/>
    <x v="0"/>
  </r>
  <r>
    <n v="6727559092"/>
    <x v="21"/>
    <x v="86"/>
    <s v="W"/>
    <n v="2034"/>
    <x v="86"/>
    <x v="0"/>
  </r>
  <r>
    <n v="1127056356"/>
    <x v="20"/>
    <x v="87"/>
    <s v="L"/>
    <n v="2436"/>
    <x v="87"/>
    <x v="0"/>
  </r>
  <r>
    <n v="6727559092"/>
    <x v="21"/>
    <x v="88"/>
    <s v="W"/>
    <n v="2114"/>
    <x v="88"/>
    <x v="0"/>
  </r>
  <r>
    <n v="1939065269"/>
    <x v="10"/>
    <x v="89"/>
    <s v="L"/>
    <n v="2390"/>
    <x v="89"/>
    <x v="0"/>
  </r>
  <r>
    <n v="1820566794"/>
    <x v="24"/>
    <x v="90"/>
    <s v="L"/>
    <n v="1932"/>
    <x v="90"/>
    <x v="0"/>
  </r>
  <r>
    <n v="4241680809"/>
    <x v="10"/>
    <x v="91"/>
    <s v="L"/>
    <n v="2720"/>
    <x v="91"/>
    <x v="0"/>
  </r>
  <r>
    <n v="4458233905"/>
    <x v="6"/>
    <x v="92"/>
    <s v="L"/>
    <n v="2478"/>
    <x v="92"/>
    <x v="0"/>
  </r>
  <r>
    <n v="1433397952"/>
    <x v="14"/>
    <x v="93"/>
    <s v="W"/>
    <n v="2434"/>
    <x v="93"/>
    <x v="1"/>
  </r>
  <r>
    <n v="4779174699"/>
    <x v="6"/>
    <x v="94"/>
    <s v="L"/>
    <n v="2992"/>
    <x v="94"/>
    <x v="0"/>
  </r>
  <r>
    <n v="5459753232"/>
    <x v="18"/>
    <x v="95"/>
    <s v="W"/>
    <n v="1860"/>
    <x v="95"/>
    <x v="0"/>
  </r>
  <r>
    <n v="3318203338"/>
    <x v="10"/>
    <x v="96"/>
    <s v="L"/>
    <n v="2427"/>
    <x v="96"/>
    <x v="0"/>
  </r>
  <r>
    <n v="5514533376"/>
    <x v="12"/>
    <x v="97"/>
    <s v="W"/>
    <n v="2926"/>
    <x v="97"/>
    <x v="0"/>
  </r>
  <r>
    <n v="5418968184"/>
    <x v="10"/>
    <x v="98"/>
    <s v="W"/>
    <n v="1902"/>
    <x v="98"/>
    <x v="0"/>
  </r>
  <r>
    <n v="4956781088"/>
    <x v="9"/>
    <x v="99"/>
    <s v="L"/>
    <n v="1929"/>
    <x v="99"/>
    <x v="0"/>
  </r>
  <r>
    <n v="4241680809"/>
    <x v="10"/>
    <x v="100"/>
    <s v="L"/>
    <n v="3056"/>
    <x v="100"/>
    <x v="0"/>
  </r>
  <r>
    <n v="2599394621"/>
    <x v="10"/>
    <x v="101"/>
    <s v="W"/>
    <n v="2818"/>
    <x v="101"/>
    <x v="0"/>
  </r>
  <r>
    <n v="5115061689"/>
    <x v="25"/>
    <x v="102"/>
    <s v="L"/>
    <n v="3144"/>
    <x v="102"/>
    <x v="0"/>
  </r>
  <r>
    <n v="3568004264"/>
    <x v="8"/>
    <x v="103"/>
    <s v="W"/>
    <n v="3060"/>
    <x v="103"/>
    <x v="0"/>
  </r>
  <r>
    <n v="3470453173"/>
    <x v="13"/>
    <x v="104"/>
    <s v="L"/>
    <n v="1866"/>
    <x v="104"/>
    <x v="0"/>
  </r>
  <r>
    <n v="2119268767"/>
    <x v="7"/>
    <x v="105"/>
    <s v="W"/>
    <n v="2928"/>
    <x v="105"/>
    <x v="0"/>
  </r>
  <r>
    <n v="1246489959"/>
    <x v="10"/>
    <x v="106"/>
    <s v="W"/>
    <n v="2590"/>
    <x v="106"/>
    <x v="0"/>
  </r>
  <r>
    <n v="4779174699"/>
    <x v="6"/>
    <x v="107"/>
    <s v="L"/>
    <n v="2445"/>
    <x v="107"/>
    <x v="0"/>
  </r>
  <r>
    <n v="4715154852"/>
    <x v="6"/>
    <x v="108"/>
    <s v="L"/>
    <n v="2780"/>
    <x v="108"/>
    <x v="0"/>
  </r>
  <r>
    <n v="3568004264"/>
    <x v="8"/>
    <x v="109"/>
    <s v="L"/>
    <n v="2720"/>
    <x v="109"/>
    <x v="0"/>
  </r>
  <r>
    <n v="5514533376"/>
    <x v="12"/>
    <x v="110"/>
    <s v="W"/>
    <n v="2136"/>
    <x v="110"/>
    <x v="0"/>
  </r>
  <r>
    <n v="5528435390"/>
    <x v="10"/>
    <x v="111"/>
    <s v="L"/>
    <n v="2328"/>
    <x v="111"/>
    <x v="0"/>
  </r>
  <r>
    <n v="4779174699"/>
    <x v="6"/>
    <x v="112"/>
    <s v="L"/>
    <n v="2920"/>
    <x v="112"/>
    <x v="0"/>
  </r>
  <r>
    <n v="4326751508"/>
    <x v="15"/>
    <x v="113"/>
    <s v="W"/>
    <n v="3324"/>
    <x v="113"/>
    <x v="0"/>
  </r>
  <r>
    <n v="1620242236"/>
    <x v="14"/>
    <x v="114"/>
    <s v="L"/>
    <n v="2915"/>
    <x v="114"/>
    <x v="0"/>
  </r>
  <r>
    <n v="6758177505"/>
    <x v="21"/>
    <x v="115"/>
    <s v="W"/>
    <n v="1930"/>
    <x v="115"/>
    <x v="0"/>
  </r>
  <r>
    <n v="6727559092"/>
    <x v="21"/>
    <x v="116"/>
    <s v="W"/>
    <n v="2361"/>
    <x v="116"/>
    <x v="0"/>
  </r>
  <r>
    <n v="4241680809"/>
    <x v="10"/>
    <x v="117"/>
    <s v="W"/>
    <n v="1863"/>
    <x v="117"/>
    <x v="0"/>
  </r>
  <r>
    <n v="4326751508"/>
    <x v="12"/>
    <x v="118"/>
    <s v="L"/>
    <n v="2420"/>
    <x v="118"/>
    <x v="0"/>
  </r>
  <r>
    <n v="3470453173"/>
    <x v="13"/>
    <x v="119"/>
    <s v="W"/>
    <n v="2625"/>
    <x v="119"/>
    <x v="0"/>
  </r>
  <r>
    <n v="3579231044"/>
    <x v="26"/>
    <x v="120"/>
    <s v="W"/>
    <n v="2314"/>
    <x v="120"/>
    <x v="0"/>
  </r>
  <r>
    <n v="2119268767"/>
    <x v="7"/>
    <x v="121"/>
    <s v="W"/>
    <n v="2340"/>
    <x v="121"/>
    <x v="0"/>
  </r>
  <r>
    <n v="1620242236"/>
    <x v="14"/>
    <x v="122"/>
    <s v="L"/>
    <n v="2181"/>
    <x v="122"/>
    <x v="0"/>
  </r>
  <r>
    <n v="4326751508"/>
    <x v="12"/>
    <x v="123"/>
    <s v="L"/>
    <n v="2800"/>
    <x v="123"/>
    <x v="0"/>
  </r>
  <r>
    <n v="1278408463"/>
    <x v="27"/>
    <x v="124"/>
    <s v="W"/>
    <n v="2589"/>
    <x v="124"/>
    <x v="0"/>
  </r>
  <r>
    <n v="1939065269"/>
    <x v="10"/>
    <x v="125"/>
    <s v="L"/>
    <n v="2360"/>
    <x v="125"/>
    <x v="0"/>
  </r>
  <r>
    <n v="3783578981"/>
    <x v="15"/>
    <x v="126"/>
    <s v="W"/>
    <n v="2185"/>
    <x v="126"/>
    <x v="0"/>
  </r>
  <r>
    <n v="4241680809"/>
    <x v="10"/>
    <x v="127"/>
    <s v="L"/>
    <n v="2319"/>
    <x v="127"/>
    <x v="0"/>
  </r>
  <r>
    <n v="4761158900"/>
    <x v="19"/>
    <x v="128"/>
    <s v="L"/>
    <n v="2208"/>
    <x v="128"/>
    <x v="0"/>
  </r>
  <r>
    <n v="3866883575"/>
    <x v="1"/>
    <x v="129"/>
    <s v="W"/>
    <n v="1520"/>
    <x v="129"/>
    <x v="0"/>
  </r>
  <r>
    <n v="1127056356"/>
    <x v="20"/>
    <x v="130"/>
    <s v="L"/>
    <n v="2050"/>
    <x v="130"/>
    <x v="0"/>
  </r>
  <r>
    <n v="1620242236"/>
    <x v="14"/>
    <x v="131"/>
    <s v="W"/>
    <n v="2336"/>
    <x v="131"/>
    <x v="0"/>
  </r>
  <r>
    <n v="6727559092"/>
    <x v="21"/>
    <x v="132"/>
    <s v="W"/>
    <n v="2034"/>
    <x v="132"/>
    <x v="0"/>
  </r>
  <r>
    <n v="3318203338"/>
    <x v="10"/>
    <x v="133"/>
    <s v="W"/>
    <n v="1900"/>
    <x v="133"/>
    <x v="0"/>
  </r>
  <r>
    <n v="5185759244"/>
    <x v="10"/>
    <x v="134"/>
    <s v="L"/>
    <n v="2277"/>
    <x v="134"/>
    <x v="0"/>
  </r>
  <r>
    <n v="3866883575"/>
    <x v="1"/>
    <x v="135"/>
    <s v="W"/>
    <n v="2994"/>
    <x v="135"/>
    <x v="0"/>
  </r>
  <r>
    <n v="6727559092"/>
    <x v="21"/>
    <x v="136"/>
    <s v="W"/>
    <n v="2315"/>
    <x v="136"/>
    <x v="0"/>
  </r>
  <r>
    <n v="1165493421"/>
    <x v="10"/>
    <x v="137"/>
    <s v="W"/>
    <n v="2560"/>
    <x v="137"/>
    <x v="0"/>
  </r>
  <r>
    <n v="4796841112"/>
    <x v="16"/>
    <x v="138"/>
    <s v="W"/>
    <n v="2391"/>
    <x v="138"/>
    <x v="0"/>
  </r>
  <r>
    <n v="5115061689"/>
    <x v="25"/>
    <x v="139"/>
    <s v="W"/>
    <n v="2085"/>
    <x v="139"/>
    <x v="0"/>
  </r>
  <r>
    <n v="1599095267"/>
    <x v="10"/>
    <x v="140"/>
    <s v="W"/>
    <n v="2105"/>
    <x v="140"/>
    <x v="0"/>
  </r>
  <r>
    <n v="3866883575"/>
    <x v="1"/>
    <x v="141"/>
    <s v="W"/>
    <n v="1928"/>
    <x v="141"/>
    <x v="0"/>
  </r>
  <r>
    <n v="4779174699"/>
    <x v="6"/>
    <x v="142"/>
    <s v="L"/>
    <n v="1852"/>
    <x v="142"/>
    <x v="0"/>
  </r>
  <r>
    <n v="3866883575"/>
    <x v="1"/>
    <x v="143"/>
    <s v="W"/>
    <n v="2784"/>
    <x v="143"/>
    <x v="0"/>
  </r>
  <r>
    <n v="4779174699"/>
    <x v="6"/>
    <x v="144"/>
    <s v="W"/>
    <n v="2348"/>
    <x v="144"/>
    <x v="0"/>
  </r>
  <r>
    <n v="3318203338"/>
    <x v="28"/>
    <x v="145"/>
    <s v="W"/>
    <n v="2305"/>
    <x v="145"/>
    <x v="0"/>
  </r>
  <r>
    <n v="1433397952"/>
    <x v="14"/>
    <x v="146"/>
    <s v="L"/>
    <n v="2282"/>
    <x v="146"/>
    <x v="1"/>
  </r>
  <r>
    <n v="4326751508"/>
    <x v="15"/>
    <x v="147"/>
    <s v="L"/>
    <n v="2408"/>
    <x v="147"/>
    <x v="0"/>
  </r>
  <r>
    <n v="3470453173"/>
    <x v="13"/>
    <x v="148"/>
    <s v="W"/>
    <n v="1835"/>
    <x v="148"/>
    <x v="0"/>
  </r>
  <r>
    <n v="3783578981"/>
    <x v="15"/>
    <x v="149"/>
    <s v="L"/>
    <n v="1869"/>
    <x v="149"/>
    <x v="0"/>
  </r>
  <r>
    <n v="3568004264"/>
    <x v="8"/>
    <x v="150"/>
    <s v="W"/>
    <n v="1804"/>
    <x v="150"/>
    <x v="0"/>
  </r>
  <r>
    <n v="6758177505"/>
    <x v="21"/>
    <x v="151"/>
    <s v="L"/>
    <n v="2990"/>
    <x v="151"/>
    <x v="0"/>
  </r>
  <r>
    <n v="5115061689"/>
    <x v="25"/>
    <x v="152"/>
    <s v="L"/>
    <n v="2840"/>
    <x v="152"/>
    <x v="0"/>
  </r>
  <r>
    <n v="5418968184"/>
    <x v="28"/>
    <x v="153"/>
    <s v="W"/>
    <n v="1929"/>
    <x v="153"/>
    <x v="0"/>
  </r>
  <r>
    <n v="2581219876"/>
    <x v="7"/>
    <x v="154"/>
    <s v="L"/>
    <n v="2506"/>
    <x v="154"/>
    <x v="0"/>
  </r>
  <r>
    <n v="1127056356"/>
    <x v="20"/>
    <x v="155"/>
    <s v="W"/>
    <n v="2924"/>
    <x v="155"/>
    <x v="0"/>
  </r>
  <r>
    <n v="5528435390"/>
    <x v="28"/>
    <x v="156"/>
    <s v="L"/>
    <n v="2283"/>
    <x v="156"/>
    <x v="0"/>
  </r>
  <r>
    <n v="4241680809"/>
    <x v="28"/>
    <x v="157"/>
    <s v="L"/>
    <n v="2350"/>
    <x v="157"/>
    <x v="0"/>
  </r>
  <r>
    <n v="2245871126"/>
    <x v="22"/>
    <x v="158"/>
    <s v="L"/>
    <n v="2340"/>
    <x v="158"/>
    <x v="0"/>
  </r>
  <r>
    <n v="1620242236"/>
    <x v="14"/>
    <x v="159"/>
    <s v="L"/>
    <n v="2368"/>
    <x v="159"/>
    <x v="0"/>
  </r>
  <r>
    <n v="4796841112"/>
    <x v="16"/>
    <x v="160"/>
    <s v="L"/>
    <n v="3336"/>
    <x v="160"/>
    <x v="0"/>
  </r>
  <r>
    <n v="3783578981"/>
    <x v="15"/>
    <x v="161"/>
    <s v="L"/>
    <n v="2510"/>
    <x v="161"/>
    <x v="0"/>
  </r>
  <r>
    <n v="5115061689"/>
    <x v="11"/>
    <x v="162"/>
    <s v="L"/>
    <n v="2358"/>
    <x v="162"/>
    <x v="0"/>
  </r>
  <r>
    <n v="6758177505"/>
    <x v="29"/>
    <x v="163"/>
    <s v="L"/>
    <n v="3104"/>
    <x v="163"/>
    <x v="0"/>
  </r>
  <r>
    <n v="2138598159"/>
    <x v="3"/>
    <x v="164"/>
    <s v="L"/>
    <n v="2391"/>
    <x v="164"/>
    <x v="0"/>
  </r>
  <r>
    <n v="1524870307"/>
    <x v="28"/>
    <x v="165"/>
    <s v="L"/>
    <n v="2790"/>
    <x v="165"/>
    <x v="0"/>
  </r>
  <r>
    <n v="4796841112"/>
    <x v="16"/>
    <x v="166"/>
    <s v="L"/>
    <n v="1796"/>
    <x v="166"/>
    <x v="0"/>
  </r>
  <r>
    <n v="3470453173"/>
    <x v="13"/>
    <x v="167"/>
    <s v="L"/>
    <n v="1790"/>
    <x v="167"/>
    <x v="0"/>
  </r>
  <r>
    <n v="4761158900"/>
    <x v="19"/>
    <x v="168"/>
    <s v="W"/>
    <n v="2460"/>
    <x v="168"/>
    <x v="0"/>
  </r>
  <r>
    <n v="3866883575"/>
    <x v="1"/>
    <x v="169"/>
    <s v="L"/>
    <n v="3300"/>
    <x v="169"/>
    <x v="0"/>
  </r>
  <r>
    <n v="4326751508"/>
    <x v="15"/>
    <x v="170"/>
    <s v="L"/>
    <n v="2365"/>
    <x v="170"/>
    <x v="0"/>
  </r>
  <r>
    <n v="1278408463"/>
    <x v="27"/>
    <x v="171"/>
    <s v="W"/>
    <n v="3270"/>
    <x v="171"/>
    <x v="0"/>
  </r>
  <r>
    <n v="4326751508"/>
    <x v="15"/>
    <x v="172"/>
    <s v="L"/>
    <n v="1835"/>
    <x v="172"/>
    <x v="0"/>
  </r>
  <r>
    <n v="1581329071"/>
    <x v="28"/>
    <x v="173"/>
    <s v="W"/>
    <n v="2320"/>
    <x v="173"/>
    <x v="0"/>
  </r>
  <r>
    <n v="1620242236"/>
    <x v="14"/>
    <x v="174"/>
    <s v="L"/>
    <n v="2067"/>
    <x v="174"/>
    <x v="0"/>
  </r>
  <r>
    <n v="2214740049"/>
    <x v="30"/>
    <x v="175"/>
    <s v="L"/>
    <n v="2366"/>
    <x v="175"/>
    <x v="0"/>
  </r>
  <r>
    <n v="1433397952"/>
    <x v="14"/>
    <x v="176"/>
    <s v="L"/>
    <n v="1990"/>
    <x v="176"/>
    <x v="1"/>
  </r>
  <r>
    <n v="2581219876"/>
    <x v="7"/>
    <x v="177"/>
    <s v="W"/>
    <n v="2120"/>
    <x v="177"/>
    <x v="0"/>
  </r>
  <r>
    <n v="3470453173"/>
    <x v="13"/>
    <x v="178"/>
    <s v="W"/>
    <n v="1620"/>
    <x v="178"/>
    <x v="0"/>
  </r>
  <r>
    <n v="4761158900"/>
    <x v="19"/>
    <x v="179"/>
    <s v="L"/>
    <n v="2080"/>
    <x v="179"/>
    <x v="0"/>
  </r>
  <r>
    <n v="1820566794"/>
    <x v="24"/>
    <x v="180"/>
    <s v="W"/>
    <n v="2658"/>
    <x v="180"/>
    <x v="0"/>
  </r>
  <r>
    <n v="4761158900"/>
    <x v="19"/>
    <x v="181"/>
    <s v="W"/>
    <n v="2582"/>
    <x v="181"/>
    <x v="0"/>
  </r>
  <r>
    <n v="1278408463"/>
    <x v="27"/>
    <x v="182"/>
    <s v="W"/>
    <n v="2852"/>
    <x v="182"/>
    <x v="0"/>
  </r>
  <r>
    <n v="5229945534"/>
    <x v="28"/>
    <x v="183"/>
    <s v="L"/>
    <n v="1968"/>
    <x v="183"/>
    <x v="0"/>
  </r>
  <r>
    <n v="3783578981"/>
    <x v="15"/>
    <x v="184"/>
    <s v="L"/>
    <n v="3160"/>
    <x v="184"/>
    <x v="0"/>
  </r>
  <r>
    <n v="4458233905"/>
    <x v="6"/>
    <x v="185"/>
    <s v="W"/>
    <n v="2022"/>
    <x v="185"/>
    <x v="0"/>
  </r>
  <r>
    <n v="1871447797"/>
    <x v="28"/>
    <x v="186"/>
    <s v="L"/>
    <n v="2350"/>
    <x v="186"/>
    <x v="0"/>
  </r>
  <r>
    <n v="4761158900"/>
    <x v="19"/>
    <x v="187"/>
    <s v="W"/>
    <n v="2468"/>
    <x v="187"/>
    <x v="0"/>
  </r>
  <r>
    <n v="2581219876"/>
    <x v="7"/>
    <x v="188"/>
    <s v="L"/>
    <n v="2610"/>
    <x v="188"/>
    <x v="0"/>
  </r>
  <r>
    <n v="4580185570"/>
    <x v="28"/>
    <x v="189"/>
    <s v="W"/>
    <n v="3204"/>
    <x v="189"/>
    <x v="0"/>
  </r>
  <r>
    <n v="1599095267"/>
    <x v="28"/>
    <x v="190"/>
    <s v="W"/>
    <n v="2516"/>
    <x v="190"/>
    <x v="0"/>
  </r>
  <r>
    <n v="3357631311"/>
    <x v="31"/>
    <x v="191"/>
    <s v="W"/>
    <n v="1792"/>
    <x v="191"/>
    <x v="0"/>
  </r>
  <r>
    <n v="4241680809"/>
    <x v="32"/>
    <x v="192"/>
    <s v="L"/>
    <n v="2885"/>
    <x v="192"/>
    <x v="0"/>
  </r>
  <r>
    <n v="2281651150"/>
    <x v="23"/>
    <x v="193"/>
    <s v="W"/>
    <n v="2550"/>
    <x v="193"/>
    <x v="0"/>
  </r>
  <r>
    <n v="4779174699"/>
    <x v="6"/>
    <x v="194"/>
    <s v="L"/>
    <n v="2362"/>
    <x v="194"/>
    <x v="0"/>
  </r>
  <r>
    <n v="5624201652"/>
    <x v="33"/>
    <x v="195"/>
    <s v="L"/>
    <n v="3216"/>
    <x v="195"/>
    <x v="0"/>
  </r>
  <r>
    <n v="3866883575"/>
    <x v="1"/>
    <x v="196"/>
    <s v="W"/>
    <n v="2034"/>
    <x v="196"/>
    <x v="0"/>
  </r>
  <r>
    <n v="4796841112"/>
    <x v="16"/>
    <x v="197"/>
    <s v="W"/>
    <n v="1885"/>
    <x v="197"/>
    <x v="0"/>
  </r>
  <r>
    <n v="5341884086"/>
    <x v="32"/>
    <x v="198"/>
    <s v="W"/>
    <n v="2490"/>
    <x v="198"/>
    <x v="0"/>
  </r>
  <r>
    <n v="4779174699"/>
    <x v="6"/>
    <x v="199"/>
    <s v="L"/>
    <n v="2580"/>
    <x v="199"/>
    <x v="0"/>
  </r>
  <r>
    <n v="5514533376"/>
    <x v="12"/>
    <x v="200"/>
    <s v="L"/>
    <n v="2634"/>
    <x v="200"/>
    <x v="0"/>
  </r>
  <r>
    <n v="3470453173"/>
    <x v="13"/>
    <x v="201"/>
    <s v="W"/>
    <n v="2584"/>
    <x v="201"/>
    <x v="0"/>
  </r>
  <r>
    <n v="4796841112"/>
    <x v="16"/>
    <x v="202"/>
    <s v="L"/>
    <n v="2576"/>
    <x v="202"/>
    <x v="0"/>
  </r>
  <r>
    <n v="5266741491"/>
    <x v="32"/>
    <x v="203"/>
    <s v="W"/>
    <n v="1946"/>
    <x v="203"/>
    <x v="0"/>
  </r>
  <r>
    <n v="4715154852"/>
    <x v="6"/>
    <x v="204"/>
    <s v="L"/>
    <n v="2880"/>
    <x v="204"/>
    <x v="0"/>
  </r>
  <r>
    <n v="5418968184"/>
    <x v="32"/>
    <x v="205"/>
    <s v="L"/>
    <n v="2630"/>
    <x v="205"/>
    <x v="0"/>
  </r>
  <r>
    <n v="1599095267"/>
    <x v="32"/>
    <x v="206"/>
    <s v="W"/>
    <n v="2112"/>
    <x v="206"/>
    <x v="0"/>
  </r>
  <r>
    <n v="1433397952"/>
    <x v="14"/>
    <x v="207"/>
    <s v="L"/>
    <n v="2928"/>
    <x v="207"/>
    <x v="1"/>
  </r>
  <r>
    <n v="2281651150"/>
    <x v="23"/>
    <x v="208"/>
    <s v="W"/>
    <n v="2295"/>
    <x v="208"/>
    <x v="0"/>
  </r>
  <r>
    <n v="5341884086"/>
    <x v="32"/>
    <x v="209"/>
    <s v="L"/>
    <n v="2556"/>
    <x v="209"/>
    <x v="0"/>
  </r>
  <r>
    <n v="3568004264"/>
    <x v="8"/>
    <x v="210"/>
    <s v="L"/>
    <n v="2568"/>
    <x v="210"/>
    <x v="0"/>
  </r>
  <r>
    <n v="5185759244"/>
    <x v="32"/>
    <x v="211"/>
    <s v="L"/>
    <n v="2674"/>
    <x v="211"/>
    <x v="0"/>
  </r>
  <r>
    <n v="4326751508"/>
    <x v="12"/>
    <x v="212"/>
    <s v="L"/>
    <n v="3120"/>
    <x v="212"/>
    <x v="0"/>
  </r>
  <r>
    <n v="1433397952"/>
    <x v="14"/>
    <x v="213"/>
    <s v="W"/>
    <n v="1896"/>
    <x v="213"/>
    <x v="1"/>
  </r>
  <r>
    <n v="4779174699"/>
    <x v="6"/>
    <x v="214"/>
    <s v="W"/>
    <n v="2608"/>
    <x v="214"/>
    <x v="0"/>
  </r>
  <r>
    <n v="3678947206"/>
    <x v="5"/>
    <x v="215"/>
    <s v="W"/>
    <n v="2154"/>
    <x v="215"/>
    <x v="0"/>
  </r>
  <r>
    <n v="1939065269"/>
    <x v="10"/>
    <x v="216"/>
    <s v="L"/>
    <n v="2328"/>
    <x v="216"/>
    <x v="0"/>
  </r>
  <r>
    <n v="5514533376"/>
    <x v="34"/>
    <x v="217"/>
    <s v="L"/>
    <n v="2548"/>
    <x v="217"/>
    <x v="0"/>
  </r>
  <r>
    <n v="5115061689"/>
    <x v="11"/>
    <x v="218"/>
    <s v="W"/>
    <n v="1902"/>
    <x v="218"/>
    <x v="0"/>
  </r>
  <r>
    <n v="4326751508"/>
    <x v="34"/>
    <x v="219"/>
    <s v="L"/>
    <n v="2456"/>
    <x v="219"/>
    <x v="0"/>
  </r>
  <r>
    <n v="1278408463"/>
    <x v="27"/>
    <x v="220"/>
    <s v="W"/>
    <n v="2544"/>
    <x v="220"/>
    <x v="0"/>
  </r>
  <r>
    <n v="5528435390"/>
    <x v="32"/>
    <x v="221"/>
    <s v="L"/>
    <n v="3495"/>
    <x v="221"/>
    <x v="0"/>
  </r>
  <r>
    <n v="2138598159"/>
    <x v="3"/>
    <x v="222"/>
    <s v="L"/>
    <n v="2550"/>
    <x v="222"/>
    <x v="0"/>
  </r>
  <r>
    <n v="1599095267"/>
    <x v="32"/>
    <x v="223"/>
    <s v="W"/>
    <n v="2448"/>
    <x v="223"/>
    <x v="0"/>
  </r>
  <r>
    <n v="5341884086"/>
    <x v="32"/>
    <x v="224"/>
    <s v="L"/>
    <n v="3645"/>
    <x v="224"/>
    <x v="0"/>
  </r>
  <r>
    <n v="1433397952"/>
    <x v="14"/>
    <x v="225"/>
    <s v="W"/>
    <n v="2935"/>
    <x v="225"/>
    <x v="1"/>
  </r>
  <r>
    <n v="2138598159"/>
    <x v="3"/>
    <x v="226"/>
    <s v="W"/>
    <n v="2834"/>
    <x v="226"/>
    <x v="0"/>
  </r>
  <r>
    <n v="2625657803"/>
    <x v="32"/>
    <x v="227"/>
    <s v="W"/>
    <n v="1624"/>
    <x v="227"/>
    <x v="0"/>
  </r>
  <r>
    <n v="1939065269"/>
    <x v="10"/>
    <x v="228"/>
    <s v="L"/>
    <n v="2574"/>
    <x v="228"/>
    <x v="0"/>
  </r>
  <r>
    <n v="4326751508"/>
    <x v="34"/>
    <x v="229"/>
    <s v="W"/>
    <n v="1806"/>
    <x v="229"/>
    <x v="0"/>
  </r>
  <r>
    <n v="2138598159"/>
    <x v="3"/>
    <x v="230"/>
    <s v="W"/>
    <n v="3204"/>
    <x v="230"/>
    <x v="0"/>
  </r>
  <r>
    <n v="4779174699"/>
    <x v="6"/>
    <x v="231"/>
    <s v="W"/>
    <n v="1618"/>
    <x v="231"/>
    <x v="0"/>
  </r>
  <r>
    <n v="3568004264"/>
    <x v="8"/>
    <x v="232"/>
    <s v="W"/>
    <n v="2720"/>
    <x v="232"/>
    <x v="0"/>
  </r>
  <r>
    <n v="5115061689"/>
    <x v="11"/>
    <x v="233"/>
    <s v="W"/>
    <n v="3192"/>
    <x v="233"/>
    <x v="0"/>
  </r>
  <r>
    <n v="1361555378"/>
    <x v="35"/>
    <x v="234"/>
    <s v="W"/>
    <n v="2559"/>
    <x v="234"/>
    <x v="0"/>
  </r>
  <r>
    <n v="3866883575"/>
    <x v="1"/>
    <x v="235"/>
    <s v="L"/>
    <n v="2145"/>
    <x v="235"/>
    <x v="0"/>
  </r>
  <r>
    <n v="4761158900"/>
    <x v="19"/>
    <x v="236"/>
    <s v="L"/>
    <n v="2674"/>
    <x v="236"/>
    <x v="0"/>
  </r>
  <r>
    <n v="4779174699"/>
    <x v="6"/>
    <x v="237"/>
    <s v="L"/>
    <n v="2192"/>
    <x v="237"/>
    <x v="0"/>
  </r>
  <r>
    <n v="6727559092"/>
    <x v="29"/>
    <x v="238"/>
    <s v="L"/>
    <n v="2480"/>
    <x v="238"/>
    <x v="0"/>
  </r>
  <r>
    <n v="4761158900"/>
    <x v="36"/>
    <x v="239"/>
    <s v="W"/>
    <n v="2578"/>
    <x v="239"/>
    <x v="0"/>
  </r>
  <r>
    <n v="4761158900"/>
    <x v="36"/>
    <x v="240"/>
    <s v="W"/>
    <n v="1774"/>
    <x v="240"/>
    <x v="0"/>
  </r>
  <r>
    <n v="2394072755"/>
    <x v="35"/>
    <x v="241"/>
    <s v="W"/>
    <n v="750"/>
    <x v="241"/>
    <x v="0"/>
  </r>
  <r>
    <n v="1939065269"/>
    <x v="10"/>
    <x v="242"/>
    <s v="L"/>
    <n v="2562"/>
    <x v="242"/>
    <x v="0"/>
  </r>
  <r>
    <n v="3114182744"/>
    <x v="35"/>
    <x v="243"/>
    <s v="L"/>
    <n v="1959"/>
    <x v="243"/>
    <x v="0"/>
  </r>
  <r>
    <n v="4326751508"/>
    <x v="15"/>
    <x v="244"/>
    <s v="L"/>
    <n v="2624"/>
    <x v="244"/>
    <x v="0"/>
  </r>
  <r>
    <n v="4326751508"/>
    <x v="34"/>
    <x v="245"/>
    <s v="W"/>
    <n v="2760"/>
    <x v="245"/>
    <x v="0"/>
  </r>
  <r>
    <n v="3568004264"/>
    <x v="8"/>
    <x v="246"/>
    <s v="L"/>
    <n v="2404"/>
    <x v="246"/>
    <x v="0"/>
  </r>
  <r>
    <n v="1278408463"/>
    <x v="14"/>
    <x v="247"/>
    <s v="L"/>
    <n v="2328"/>
    <x v="247"/>
    <x v="0"/>
  </r>
  <r>
    <n v="5185759244"/>
    <x v="35"/>
    <x v="248"/>
    <s v="W"/>
    <n v="2610"/>
    <x v="248"/>
    <x v="0"/>
  </r>
  <r>
    <n v="4761158900"/>
    <x v="36"/>
    <x v="249"/>
    <s v="L"/>
    <n v="2010"/>
    <x v="249"/>
    <x v="0"/>
  </r>
  <r>
    <n v="4326751508"/>
    <x v="37"/>
    <x v="250"/>
    <s v="L"/>
    <n v="2196"/>
    <x v="250"/>
    <x v="0"/>
  </r>
  <r>
    <n v="6758177505"/>
    <x v="29"/>
    <x v="251"/>
    <s v="W"/>
    <n v="2095"/>
    <x v="251"/>
    <x v="0"/>
  </r>
  <r>
    <n v="1617995032"/>
    <x v="4"/>
    <x v="252"/>
    <s v="L"/>
    <n v="1899"/>
    <x v="252"/>
    <x v="0"/>
  </r>
  <r>
    <n v="1433397952"/>
    <x v="14"/>
    <x v="253"/>
    <s v="W"/>
    <n v="2180"/>
    <x v="253"/>
    <x v="1"/>
  </r>
  <r>
    <n v="5115061689"/>
    <x v="11"/>
    <x v="254"/>
    <s v="W"/>
    <n v="1864"/>
    <x v="254"/>
    <x v="0"/>
  </r>
  <r>
    <n v="4761158900"/>
    <x v="36"/>
    <x v="255"/>
    <s v="W"/>
    <n v="2172"/>
    <x v="255"/>
    <x v="0"/>
  </r>
  <r>
    <n v="4761158900"/>
    <x v="36"/>
    <x v="256"/>
    <s v="L"/>
    <n v="1950"/>
    <x v="256"/>
    <x v="0"/>
  </r>
  <r>
    <n v="2119268767"/>
    <x v="7"/>
    <x v="257"/>
    <s v="W"/>
    <n v="2115"/>
    <x v="257"/>
    <x v="0"/>
  </r>
  <r>
    <n v="3866883575"/>
    <x v="1"/>
    <x v="258"/>
    <s v="W"/>
    <n v="2457"/>
    <x v="258"/>
    <x v="0"/>
  </r>
  <r>
    <n v="2394072755"/>
    <x v="35"/>
    <x v="259"/>
    <s v="W"/>
    <n v="2792"/>
    <x v="259"/>
    <x v="0"/>
  </r>
  <r>
    <n v="6758177505"/>
    <x v="29"/>
    <x v="260"/>
    <s v="W"/>
    <n v="2915"/>
    <x v="260"/>
    <x v="0"/>
  </r>
  <r>
    <n v="4326751508"/>
    <x v="37"/>
    <x v="261"/>
    <s v="L"/>
    <n v="1515"/>
    <x v="261"/>
    <x v="0"/>
  </r>
  <r>
    <n v="2394072755"/>
    <x v="35"/>
    <x v="262"/>
    <s v="W"/>
    <n v="2330"/>
    <x v="262"/>
    <x v="0"/>
  </r>
  <r>
    <n v="4326751508"/>
    <x v="37"/>
    <x v="263"/>
    <s v="L"/>
    <n v="2245"/>
    <x v="263"/>
    <x v="0"/>
  </r>
  <r>
    <n v="5341884086"/>
    <x v="35"/>
    <x v="264"/>
    <s v="L"/>
    <n v="2880"/>
    <x v="264"/>
    <x v="0"/>
  </r>
  <r>
    <n v="1581329071"/>
    <x v="35"/>
    <x v="265"/>
    <s v="L"/>
    <n v="2270"/>
    <x v="265"/>
    <x v="0"/>
  </r>
  <r>
    <n v="5341884086"/>
    <x v="35"/>
    <x v="266"/>
    <s v="L"/>
    <n v="2748"/>
    <x v="266"/>
    <x v="0"/>
  </r>
  <r>
    <n v="4241680809"/>
    <x v="35"/>
    <x v="267"/>
    <s v="W"/>
    <n v="1995"/>
    <x v="267"/>
    <x v="0"/>
  </r>
  <r>
    <n v="5229945534"/>
    <x v="35"/>
    <x v="268"/>
    <s v="L"/>
    <n v="3276"/>
    <x v="268"/>
    <x v="0"/>
  </r>
  <r>
    <n v="2281651150"/>
    <x v="23"/>
    <x v="269"/>
    <s v="L"/>
    <n v="1622"/>
    <x v="269"/>
    <x v="0"/>
  </r>
  <r>
    <n v="6727559092"/>
    <x v="29"/>
    <x v="270"/>
    <s v="W"/>
    <n v="2208"/>
    <x v="270"/>
    <x v="0"/>
  </r>
  <r>
    <n v="3678947206"/>
    <x v="5"/>
    <x v="271"/>
    <s v="L"/>
    <n v="2065"/>
    <x v="271"/>
    <x v="0"/>
  </r>
  <r>
    <n v="2119268767"/>
    <x v="7"/>
    <x v="272"/>
    <s v="W"/>
    <n v="1772"/>
    <x v="272"/>
    <x v="0"/>
  </r>
  <r>
    <n v="3568004264"/>
    <x v="8"/>
    <x v="273"/>
    <s v="W"/>
    <n v="2175"/>
    <x v="273"/>
    <x v="0"/>
  </r>
  <r>
    <n v="4326751508"/>
    <x v="34"/>
    <x v="274"/>
    <s v="W"/>
    <n v="2958"/>
    <x v="274"/>
    <x v="0"/>
  </r>
  <r>
    <n v="4796841112"/>
    <x v="16"/>
    <x v="275"/>
    <s v="L"/>
    <n v="2792"/>
    <x v="275"/>
    <x v="0"/>
  </r>
  <r>
    <n v="2138598159"/>
    <x v="3"/>
    <x v="276"/>
    <s v="L"/>
    <n v="2049"/>
    <x v="276"/>
    <x v="0"/>
  </r>
  <r>
    <n v="1617995032"/>
    <x v="4"/>
    <x v="277"/>
    <s v="W"/>
    <n v="1946"/>
    <x v="277"/>
    <x v="0"/>
  </r>
  <r>
    <n v="1278408463"/>
    <x v="27"/>
    <x v="278"/>
    <s v="L"/>
    <n v="2722"/>
    <x v="278"/>
    <x v="0"/>
  </r>
  <r>
    <n v="3345883725"/>
    <x v="8"/>
    <x v="279"/>
    <s v="W"/>
    <n v="2344"/>
    <x v="279"/>
    <x v="0"/>
  </r>
  <r>
    <n v="5528435390"/>
    <x v="35"/>
    <x v="280"/>
    <s v="W"/>
    <n v="2465"/>
    <x v="280"/>
    <x v="0"/>
  </r>
  <r>
    <n v="3783578981"/>
    <x v="37"/>
    <x v="281"/>
    <s v="W"/>
    <n v="2174"/>
    <x v="281"/>
    <x v="0"/>
  </r>
  <r>
    <n v="4761158900"/>
    <x v="36"/>
    <x v="282"/>
    <s v="L"/>
    <n v="1812"/>
    <x v="282"/>
    <x v="0"/>
  </r>
  <r>
    <n v="4715154852"/>
    <x v="6"/>
    <x v="283"/>
    <s v="L"/>
    <n v="2800"/>
    <x v="283"/>
    <x v="0"/>
  </r>
  <r>
    <n v="2581219876"/>
    <x v="7"/>
    <x v="284"/>
    <s v="W"/>
    <n v="2478"/>
    <x v="284"/>
    <x v="0"/>
  </r>
  <r>
    <n v="2245871126"/>
    <x v="22"/>
    <x v="285"/>
    <s v="L"/>
    <n v="2562"/>
    <x v="285"/>
    <x v="0"/>
  </r>
  <r>
    <n v="6727559092"/>
    <x v="29"/>
    <x v="286"/>
    <s v="W"/>
    <n v="980"/>
    <x v="286"/>
    <x v="0"/>
  </r>
  <r>
    <n v="1361555378"/>
    <x v="35"/>
    <x v="287"/>
    <s v="W"/>
    <n v="2325"/>
    <x v="287"/>
    <x v="0"/>
  </r>
  <r>
    <n v="5418968184"/>
    <x v="35"/>
    <x v="288"/>
    <s v="W"/>
    <n v="1830"/>
    <x v="288"/>
    <x v="0"/>
  </r>
  <r>
    <n v="1165493421"/>
    <x v="35"/>
    <x v="289"/>
    <s v="L"/>
    <n v="3122"/>
    <x v="289"/>
    <x v="0"/>
  </r>
  <r>
    <n v="1433397952"/>
    <x v="14"/>
    <x v="290"/>
    <s v="L"/>
    <n v="2660"/>
    <x v="290"/>
    <x v="1"/>
  </r>
  <r>
    <n v="6727559092"/>
    <x v="33"/>
    <x v="291"/>
    <s v="L"/>
    <n v="2822"/>
    <x v="291"/>
    <x v="0"/>
  </r>
  <r>
    <n v="5514533376"/>
    <x v="34"/>
    <x v="292"/>
    <s v="L"/>
    <n v="2895"/>
    <x v="292"/>
    <x v="0"/>
  </r>
  <r>
    <n v="3866883575"/>
    <x v="1"/>
    <x v="293"/>
    <s v="L"/>
    <n v="2638"/>
    <x v="293"/>
    <x v="0"/>
  </r>
  <r>
    <n v="1433397952"/>
    <x v="14"/>
    <x v="294"/>
    <s v="L"/>
    <n v="2018"/>
    <x v="294"/>
    <x v="1"/>
  </r>
  <r>
    <n v="4779174699"/>
    <x v="6"/>
    <x v="295"/>
    <s v="L"/>
    <n v="1600"/>
    <x v="295"/>
    <x v="0"/>
  </r>
  <r>
    <n v="4326751508"/>
    <x v="37"/>
    <x v="296"/>
    <s v="L"/>
    <n v="1800"/>
    <x v="296"/>
    <x v="0"/>
  </r>
  <r>
    <n v="4761158900"/>
    <x v="36"/>
    <x v="297"/>
    <s v="L"/>
    <n v="3144"/>
    <x v="297"/>
    <x v="0"/>
  </r>
  <r>
    <n v="2119268767"/>
    <x v="7"/>
    <x v="298"/>
    <s v="L"/>
    <n v="1740"/>
    <x v="298"/>
    <x v="0"/>
  </r>
  <r>
    <n v="2581219876"/>
    <x v="7"/>
    <x v="299"/>
    <s v="L"/>
    <n v="2490"/>
    <x v="299"/>
    <x v="0"/>
  </r>
  <r>
    <n v="2281651150"/>
    <x v="23"/>
    <x v="300"/>
    <s v="W"/>
    <n v="2170"/>
    <x v="300"/>
    <x v="0"/>
  </r>
  <r>
    <n v="1599095267"/>
    <x v="35"/>
    <x v="301"/>
    <s v="L"/>
    <n v="2238"/>
    <x v="301"/>
    <x v="0"/>
  </r>
  <r>
    <n v="3783578981"/>
    <x v="37"/>
    <x v="302"/>
    <s v="W"/>
    <n v="2642"/>
    <x v="302"/>
    <x v="0"/>
  </r>
  <r>
    <n v="4779174699"/>
    <x v="6"/>
    <x v="303"/>
    <s v="L"/>
    <n v="1575"/>
    <x v="303"/>
    <x v="0"/>
  </r>
  <r>
    <n v="4580185570"/>
    <x v="35"/>
    <x v="304"/>
    <s v="L"/>
    <n v="1623"/>
    <x v="304"/>
    <x v="0"/>
  </r>
  <r>
    <n v="6727559092"/>
    <x v="33"/>
    <x v="305"/>
    <s v="W"/>
    <n v="2550"/>
    <x v="305"/>
    <x v="0"/>
  </r>
  <r>
    <n v="6727559092"/>
    <x v="33"/>
    <x v="306"/>
    <s v="L"/>
    <n v="2384"/>
    <x v="306"/>
    <x v="0"/>
  </r>
  <r>
    <n v="5418968184"/>
    <x v="38"/>
    <x v="307"/>
    <s v="W"/>
    <n v="2364"/>
    <x v="307"/>
    <x v="0"/>
  </r>
  <r>
    <n v="5514533376"/>
    <x v="34"/>
    <x v="308"/>
    <s v="L"/>
    <n v="2642"/>
    <x v="308"/>
    <x v="0"/>
  </r>
  <r>
    <n v="3579231044"/>
    <x v="26"/>
    <x v="309"/>
    <s v="L"/>
    <n v="3002"/>
    <x v="309"/>
    <x v="0"/>
  </r>
  <r>
    <n v="4458233905"/>
    <x v="6"/>
    <x v="310"/>
    <s v="L"/>
    <n v="3128"/>
    <x v="310"/>
    <x v="0"/>
  </r>
  <r>
    <n v="1939065269"/>
    <x v="10"/>
    <x v="311"/>
    <s v="W"/>
    <n v="1980"/>
    <x v="311"/>
    <x v="0"/>
  </r>
  <r>
    <n v="3345883725"/>
    <x v="8"/>
    <x v="312"/>
    <s v="W"/>
    <n v="2784"/>
    <x v="312"/>
    <x v="0"/>
  </r>
  <r>
    <n v="3357631311"/>
    <x v="31"/>
    <x v="313"/>
    <s v="L"/>
    <n v="2014"/>
    <x v="313"/>
    <x v="0"/>
  </r>
  <r>
    <n v="2869229213"/>
    <x v="38"/>
    <x v="314"/>
    <s v="W"/>
    <n v="1280"/>
    <x v="314"/>
    <x v="0"/>
  </r>
  <r>
    <n v="1599095267"/>
    <x v="38"/>
    <x v="315"/>
    <s v="W"/>
    <n v="2796"/>
    <x v="315"/>
    <x v="0"/>
  </r>
  <r>
    <n v="3678947206"/>
    <x v="5"/>
    <x v="316"/>
    <s v="W"/>
    <n v="2475"/>
    <x v="316"/>
    <x v="0"/>
  </r>
  <r>
    <n v="2245871126"/>
    <x v="22"/>
    <x v="317"/>
    <s v="W"/>
    <n v="1806"/>
    <x v="317"/>
    <x v="0"/>
  </r>
  <r>
    <n v="5115061689"/>
    <x v="11"/>
    <x v="318"/>
    <s v="W"/>
    <n v="2595"/>
    <x v="318"/>
    <x v="0"/>
  </r>
  <r>
    <n v="1620242236"/>
    <x v="14"/>
    <x v="319"/>
    <s v="L"/>
    <n v="2836"/>
    <x v="319"/>
    <x v="0"/>
  </r>
  <r>
    <n v="3318203338"/>
    <x v="38"/>
    <x v="320"/>
    <s v="W"/>
    <n v="2349"/>
    <x v="320"/>
    <x v="0"/>
  </r>
  <r>
    <n v="3357631311"/>
    <x v="31"/>
    <x v="321"/>
    <s v="W"/>
    <n v="2870"/>
    <x v="321"/>
    <x v="0"/>
  </r>
  <r>
    <n v="4580185570"/>
    <x v="38"/>
    <x v="322"/>
    <s v="W"/>
    <n v="2616"/>
    <x v="322"/>
    <x v="0"/>
  </r>
  <r>
    <n v="6758177505"/>
    <x v="33"/>
    <x v="323"/>
    <s v="L"/>
    <n v="2523"/>
    <x v="323"/>
    <x v="0"/>
  </r>
  <r>
    <n v="3568004264"/>
    <x v="8"/>
    <x v="324"/>
    <s v="L"/>
    <n v="2060"/>
    <x v="324"/>
    <x v="0"/>
  </r>
  <r>
    <n v="3470453173"/>
    <x v="13"/>
    <x v="325"/>
    <s v="W"/>
    <n v="2151"/>
    <x v="325"/>
    <x v="0"/>
  </r>
  <r>
    <n v="3866883575"/>
    <x v="1"/>
    <x v="326"/>
    <s v="W"/>
    <n v="2818"/>
    <x v="326"/>
    <x v="0"/>
  </r>
  <r>
    <n v="1433397952"/>
    <x v="14"/>
    <x v="327"/>
    <s v="W"/>
    <n v="1851"/>
    <x v="327"/>
    <x v="1"/>
  </r>
  <r>
    <n v="3470453173"/>
    <x v="13"/>
    <x v="328"/>
    <s v="L"/>
    <n v="2062"/>
    <x v="328"/>
    <x v="0"/>
  </r>
  <r>
    <n v="6758177505"/>
    <x v="33"/>
    <x v="329"/>
    <s v="W"/>
    <n v="2258"/>
    <x v="329"/>
    <x v="0"/>
  </r>
  <r>
    <n v="5266741491"/>
    <x v="38"/>
    <x v="330"/>
    <s v="W"/>
    <n v="1774"/>
    <x v="330"/>
    <x v="0"/>
  </r>
  <r>
    <n v="2214740049"/>
    <x v="30"/>
    <x v="331"/>
    <s v="W"/>
    <n v="2066"/>
    <x v="331"/>
    <x v="0"/>
  </r>
  <r>
    <n v="1433397952"/>
    <x v="14"/>
    <x v="332"/>
    <s v="W"/>
    <n v="1626"/>
    <x v="332"/>
    <x v="1"/>
  </r>
  <r>
    <n v="4326751508"/>
    <x v="34"/>
    <x v="333"/>
    <s v="W"/>
    <n v="1601"/>
    <x v="333"/>
    <x v="0"/>
  </r>
  <r>
    <n v="1433397952"/>
    <x v="14"/>
    <x v="334"/>
    <s v="W"/>
    <n v="2865"/>
    <x v="334"/>
    <x v="1"/>
  </r>
  <r>
    <n v="2281651150"/>
    <x v="23"/>
    <x v="335"/>
    <s v="L"/>
    <n v="2136"/>
    <x v="335"/>
    <x v="0"/>
  </r>
  <r>
    <n v="5581610439"/>
    <x v="39"/>
    <x v="336"/>
    <s v="W"/>
    <n v="2316"/>
    <x v="33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n v="6727559092"/>
    <s v="KTA"/>
    <s v="323W"/>
    <x v="0"/>
    <n v="1240"/>
    <x v="0"/>
    <s v="KTA323W"/>
  </r>
  <r>
    <n v="3866883575"/>
    <s v="LU"/>
    <s v="16794"/>
    <x v="0"/>
    <n v="3022"/>
    <x v="1"/>
    <s v="LU16794"/>
  </r>
  <r>
    <n v="1165493421"/>
    <s v="SBE"/>
    <s v="LL545"/>
    <x v="0"/>
    <n v="1770"/>
    <x v="2"/>
    <s v="SBELL545"/>
  </r>
  <r>
    <n v="2138598159"/>
    <s v="NEL"/>
    <s v="L584"/>
    <x v="0"/>
    <n v="2272"/>
    <x v="3"/>
    <s v="NELL584"/>
  </r>
  <r>
    <n v="1617995032"/>
    <s v="PTU"/>
    <s v="6R13"/>
    <x v="0"/>
    <n v="2253"/>
    <x v="4"/>
    <s v="PTU6R13"/>
  </r>
  <r>
    <n v="2625657803"/>
    <s v="SBE"/>
    <s v="U48HH"/>
    <x v="1"/>
    <n v="2349"/>
    <x v="5"/>
    <s v="SBEU48HH"/>
  </r>
  <r>
    <n v="6758177505"/>
    <s v="KTA"/>
    <s v="468L"/>
    <x v="1"/>
    <n v="2154"/>
    <x v="6"/>
    <s v="KTA468L"/>
  </r>
  <r>
    <n v="4531538788"/>
    <s v="SBE"/>
    <s v="TE554"/>
    <x v="0"/>
    <n v="2385"/>
    <x v="7"/>
    <s v="SBETE554"/>
  </r>
  <r>
    <n v="2138598159"/>
    <s v="NEL"/>
    <s v="O586"/>
    <x v="1"/>
    <n v="2370"/>
    <x v="3"/>
    <s v="NELO586"/>
  </r>
  <r>
    <n v="1818291355"/>
    <s v="SBE"/>
    <s v="Z67OX"/>
    <x v="0"/>
    <n v="1862"/>
    <x v="8"/>
    <s v="SBEZ67OX"/>
  </r>
  <r>
    <n v="2599394621"/>
    <s v="SBE"/>
    <s v="CD551"/>
    <x v="1"/>
    <n v="2508"/>
    <x v="9"/>
    <s v="SBECD551"/>
  </r>
  <r>
    <n v="4653095092"/>
    <s v="ONY"/>
    <s v="1234"/>
    <x v="0"/>
    <n v="2502"/>
    <x v="10"/>
    <s v="ONY1234"/>
  </r>
  <r>
    <n v="5229945534"/>
    <s v="SBE"/>
    <s v="G38FY"/>
    <x v="1"/>
    <n v="2674"/>
    <x v="11"/>
    <s v="SBEG38FY"/>
  </r>
  <r>
    <n v="3743661247"/>
    <s v="SBE"/>
    <s v="Z99ZO"/>
    <x v="1"/>
    <n v="2176"/>
    <x v="12"/>
    <s v="SBEZ99ZO"/>
  </r>
  <r>
    <n v="4779174699"/>
    <s v="DW"/>
    <s v="16852"/>
    <x v="1"/>
    <n v="1875"/>
    <x v="13"/>
    <s v="DW16852"/>
  </r>
  <r>
    <n v="4715154852"/>
    <s v="DW"/>
    <s v="23815"/>
    <x v="0"/>
    <n v="2520"/>
    <x v="14"/>
    <s v="DW23815"/>
  </r>
  <r>
    <n v="6758177505"/>
    <s v="KTA"/>
    <s v="545S"/>
    <x v="0"/>
    <n v="2984"/>
    <x v="6"/>
    <s v="KTA545S"/>
  </r>
  <r>
    <n v="2581219876"/>
    <s v="NEB"/>
    <s v="92NR"/>
    <x v="1"/>
    <n v="2685"/>
    <x v="15"/>
    <s v="NEB92NR"/>
  </r>
  <r>
    <n v="3568004264"/>
    <s v="LUB"/>
    <s v="Q624"/>
    <x v="0"/>
    <n v="2438"/>
    <x v="16"/>
    <s v="LUBQ624"/>
  </r>
  <r>
    <n v="6727559092"/>
    <s v="KTA"/>
    <s v="257G"/>
    <x v="1"/>
    <n v="2435"/>
    <x v="0"/>
    <s v="KTA257G"/>
  </r>
  <r>
    <n v="5418968184"/>
    <s v="SBE"/>
    <s v="O60RV"/>
    <x v="0"/>
    <n v="1806"/>
    <x v="17"/>
    <s v="SBEO60RV"/>
  </r>
  <r>
    <n v="4956781088"/>
    <s v="DGR"/>
    <s v="F718"/>
    <x v="1"/>
    <n v="2156"/>
    <x v="18"/>
    <s v="DGRF718"/>
  </r>
  <r>
    <n v="5341884086"/>
    <s v="SBE"/>
    <s v="SA138"/>
    <x v="1"/>
    <n v="1908"/>
    <x v="19"/>
    <s v="SBESA138"/>
  </r>
  <r>
    <n v="1939065269"/>
    <s v="PO"/>
    <s v="16886"/>
    <x v="1"/>
    <n v="3156"/>
    <x v="20"/>
    <s v="PO16886"/>
  </r>
  <r>
    <n v="4715154852"/>
    <s v="DW"/>
    <s v="557F"/>
    <x v="0"/>
    <n v="2276"/>
    <x v="14"/>
    <s v="DW557F"/>
  </r>
  <r>
    <n v="5115061689"/>
    <s v="SRS"/>
    <s v="D662"/>
    <x v="1"/>
    <n v="1627"/>
    <x v="21"/>
    <s v="SRSD662"/>
  </r>
  <r>
    <n v="4326751508"/>
    <s v="SB"/>
    <s v="55355"/>
    <x v="1"/>
    <n v="2060"/>
    <x v="22"/>
    <s v="SB55355"/>
  </r>
  <r>
    <n v="1581329071"/>
    <s v="SBE"/>
    <s v="E93DN"/>
    <x v="1"/>
    <n v="2236"/>
    <x v="23"/>
    <s v="SBEE93DN"/>
  </r>
  <r>
    <n v="4326751508"/>
    <s v="SB"/>
    <s v="56466"/>
    <x v="0"/>
    <n v="2000"/>
    <x v="22"/>
    <s v="SB56466"/>
  </r>
  <r>
    <n v="3470453173"/>
    <s v="LC"/>
    <s v="7895G"/>
    <x v="0"/>
    <n v="2040"/>
    <x v="24"/>
    <s v="LC7895G"/>
  </r>
  <r>
    <n v="1433397952"/>
    <s v="PN"/>
    <s v="16832"/>
    <x v="1"/>
    <n v="2734"/>
    <x v="25"/>
    <s v="PN16832"/>
  </r>
  <r>
    <n v="3783578981"/>
    <s v="EL"/>
    <s v="28920"/>
    <x v="0"/>
    <n v="1935"/>
    <x v="26"/>
    <s v="EL28920"/>
  </r>
  <r>
    <n v="2581219876"/>
    <s v="NEB"/>
    <s v="90HD"/>
    <x v="1"/>
    <n v="2818"/>
    <x v="15"/>
    <s v="NEB90HD"/>
  </r>
  <r>
    <n v="4796841112"/>
    <s v="DOA"/>
    <s v="R672"/>
    <x v="0"/>
    <n v="2668"/>
    <x v="27"/>
    <s v="DOAR672"/>
  </r>
  <r>
    <n v="4715154852"/>
    <s v="DW"/>
    <s v="23411"/>
    <x v="1"/>
    <n v="2700"/>
    <x v="14"/>
    <s v="DW23411"/>
  </r>
  <r>
    <n v="4241680809"/>
    <s v="SBE"/>
    <s v="RF346"/>
    <x v="1"/>
    <n v="2496"/>
    <x v="28"/>
    <s v="SBERF346"/>
  </r>
  <r>
    <n v="1617995032"/>
    <s v="PTU"/>
    <s v="54PX"/>
    <x v="1"/>
    <n v="2148"/>
    <x v="4"/>
    <s v="PTU54PX"/>
  </r>
  <r>
    <n v="1433397952"/>
    <s v="PN"/>
    <s v="16838"/>
    <x v="0"/>
    <n v="2160"/>
    <x v="25"/>
    <s v="PN16838"/>
  </r>
  <r>
    <n v="4326751508"/>
    <s v="EL"/>
    <s v="69798"/>
    <x v="1"/>
    <n v="2056"/>
    <x v="22"/>
    <s v="EL69798"/>
  </r>
  <r>
    <n v="1246489959"/>
    <s v="SBE"/>
    <s v="M52XG"/>
    <x v="1"/>
    <n v="1812"/>
    <x v="29"/>
    <s v="SBEM52XG"/>
  </r>
  <r>
    <n v="4241680809"/>
    <s v="SBE"/>
    <s v="RJ349"/>
    <x v="1"/>
    <n v="2664"/>
    <x v="28"/>
    <s v="SBERJ349"/>
  </r>
  <r>
    <n v="3470453173"/>
    <s v="LC"/>
    <s v="34568"/>
    <x v="1"/>
    <n v="2872"/>
    <x v="24"/>
    <s v="LC34568"/>
  </r>
  <r>
    <n v="3568004264"/>
    <s v="LUB"/>
    <s v="E630"/>
    <x v="1"/>
    <n v="1928"/>
    <x v="16"/>
    <s v="LUBE630"/>
  </r>
  <r>
    <n v="1617995032"/>
    <s v="PTU"/>
    <s v="7D14"/>
    <x v="1"/>
    <n v="2194"/>
    <x v="4"/>
    <s v="PTU7D14"/>
  </r>
  <r>
    <n v="2119268767"/>
    <s v="NEB"/>
    <s v="55CS"/>
    <x v="1"/>
    <n v="2114"/>
    <x v="30"/>
    <s v="NEB55CS"/>
  </r>
  <r>
    <n v="5341884086"/>
    <s v="SK"/>
    <s v="S12EM"/>
    <x v="1"/>
    <n v="2364"/>
    <x v="19"/>
    <s v="SKS12EM"/>
  </r>
  <r>
    <n v="4779174699"/>
    <s v="DW"/>
    <s v="3841A"/>
    <x v="1"/>
    <n v="2462"/>
    <x v="13"/>
    <s v="DW3841A"/>
  </r>
  <r>
    <n v="1939065269"/>
    <s v="PO"/>
    <s v="16880"/>
    <x v="1"/>
    <n v="2696"/>
    <x v="20"/>
    <s v="PO16880"/>
  </r>
  <r>
    <n v="1939065269"/>
    <s v="PO"/>
    <s v="3921Q"/>
    <x v="0"/>
    <n v="2073"/>
    <x v="20"/>
    <s v="PO3921Q"/>
  </r>
  <r>
    <n v="5459753232"/>
    <s v="BSI"/>
    <s v="24678"/>
    <x v="1"/>
    <n v="1629"/>
    <x v="31"/>
    <s v="BSI24678"/>
  </r>
  <r>
    <n v="4761158900"/>
    <s v="OKL"/>
    <s v="83130"/>
    <x v="1"/>
    <n v="2139"/>
    <x v="32"/>
    <s v="OKL83130"/>
  </r>
  <r>
    <n v="1127056356"/>
    <s v="PKS"/>
    <s v="C568"/>
    <x v="1"/>
    <n v="2944"/>
    <x v="33"/>
    <s v="PKSC568"/>
  </r>
  <r>
    <n v="1361555378"/>
    <s v="SK"/>
    <s v="WM236"/>
    <x v="0"/>
    <n v="2250"/>
    <x v="34"/>
    <s v="SKWM236"/>
  </r>
  <r>
    <n v="1278408463"/>
    <s v="PN"/>
    <s v="16782"/>
    <x v="1"/>
    <n v="2190"/>
    <x v="35"/>
    <s v="PN16782"/>
  </r>
  <r>
    <n v="3114182744"/>
    <s v="SK"/>
    <s v="S98QG"/>
    <x v="1"/>
    <n v="2074"/>
    <x v="36"/>
    <s v="SKS98QG"/>
  </r>
  <r>
    <n v="4458233905"/>
    <s v="DW"/>
    <s v="3344T"/>
    <x v="0"/>
    <n v="1200"/>
    <x v="37"/>
    <s v="DW3344T"/>
  </r>
  <r>
    <n v="1617995032"/>
    <s v="PTU"/>
    <s v="L690"/>
    <x v="0"/>
    <n v="1965"/>
    <x v="4"/>
    <s v="PTUL690"/>
  </r>
  <r>
    <n v="4761158900"/>
    <s v="OKL"/>
    <s v="74242"/>
    <x v="0"/>
    <n v="1894"/>
    <x v="32"/>
    <s v="OKL74242"/>
  </r>
  <r>
    <n v="4241680809"/>
    <s v="SK"/>
    <s v="RG347"/>
    <x v="1"/>
    <n v="1946"/>
    <x v="28"/>
    <s v="SKRG347"/>
  </r>
  <r>
    <n v="1524870307"/>
    <s v="SK"/>
    <s v="N89WP"/>
    <x v="0"/>
    <n v="1810"/>
    <x v="38"/>
    <s v="SKN89WP"/>
  </r>
  <r>
    <n v="1818291355"/>
    <s v="SK"/>
    <s v="Z78PZ"/>
    <x v="0"/>
    <n v="2448"/>
    <x v="8"/>
    <s v="SKZ78PZ"/>
  </r>
  <r>
    <n v="4653095092"/>
    <s v="ONY"/>
    <s v="1245"/>
    <x v="1"/>
    <n v="1995"/>
    <x v="10"/>
    <s v="ONY1245"/>
  </r>
  <r>
    <n v="6758177505"/>
    <s v="KTA"/>
    <s v="512R"/>
    <x v="0"/>
    <n v="2216"/>
    <x v="6"/>
    <s v="KTA512R"/>
  </r>
  <r>
    <n v="1278408463"/>
    <s v="PN"/>
    <s v="16784"/>
    <x v="0"/>
    <n v="2226"/>
    <x v="35"/>
    <s v="PN16784"/>
  </r>
  <r>
    <n v="3318203338"/>
    <s v="SK"/>
    <s v="LG353"/>
    <x v="0"/>
    <n v="2640"/>
    <x v="39"/>
    <s v="SKLG353"/>
  </r>
  <r>
    <n v="1617995032"/>
    <s v="PTU"/>
    <s v="52YS"/>
    <x v="0"/>
    <n v="2358"/>
    <x v="4"/>
    <s v="PTU52YS"/>
  </r>
  <r>
    <n v="4458233905"/>
    <s v="DW"/>
    <s v="RM754"/>
    <x v="1"/>
    <n v="2175"/>
    <x v="37"/>
    <s v="DWRM754"/>
  </r>
  <r>
    <n v="1361555378"/>
    <s v="SK"/>
    <s v="WD234"/>
    <x v="0"/>
    <n v="2972"/>
    <x v="34"/>
    <s v="SKWD234"/>
  </r>
  <r>
    <n v="6758177505"/>
    <s v="RTA"/>
    <s v="490N"/>
    <x v="0"/>
    <n v="1779"/>
    <x v="6"/>
    <s v="RTA490N"/>
  </r>
  <r>
    <n v="3318203338"/>
    <s v="SK"/>
    <s v="L67AK"/>
    <x v="1"/>
    <n v="2165"/>
    <x v="39"/>
    <s v="SKL67AK"/>
  </r>
  <r>
    <n v="5459753232"/>
    <s v="BSI"/>
    <s v="25082"/>
    <x v="0"/>
    <n v="2758"/>
    <x v="31"/>
    <s v="BSI25082"/>
  </r>
  <r>
    <n v="4326751508"/>
    <s v="SB"/>
    <s v="49800"/>
    <x v="1"/>
    <n v="2198"/>
    <x v="22"/>
    <s v="SB49800"/>
  </r>
  <r>
    <n v="4326751508"/>
    <s v="SB"/>
    <s v="57577"/>
    <x v="1"/>
    <n v="1902"/>
    <x v="22"/>
    <s v="SB57577"/>
  </r>
  <r>
    <n v="4458233905"/>
    <s v="SK"/>
    <s v="RM745"/>
    <x v="1"/>
    <n v="2318"/>
    <x v="37"/>
    <s v="SKRM745"/>
  </r>
  <r>
    <n v="3470453173"/>
    <s v="LC"/>
    <s v="7893E"/>
    <x v="0"/>
    <n v="2415"/>
    <x v="24"/>
    <s v="LC7893E"/>
  </r>
  <r>
    <n v="1524870307"/>
    <s v="SK"/>
    <s v="N90SL"/>
    <x v="1"/>
    <n v="1893"/>
    <x v="38"/>
    <s v="SKN90SL"/>
  </r>
  <r>
    <n v="2245871126"/>
    <s v="TBU"/>
    <s v="24072"/>
    <x v="1"/>
    <n v="1950"/>
    <x v="40"/>
    <s v="TBU24072"/>
  </r>
  <r>
    <n v="2281651150"/>
    <s v="NOL"/>
    <s v="14UV"/>
    <x v="1"/>
    <n v="2575"/>
    <x v="41"/>
    <s v="NOL14UV"/>
  </r>
  <r>
    <n v="5266741491"/>
    <s v="PO"/>
    <s v="P48WY"/>
    <x v="0"/>
    <n v="2565"/>
    <x v="42"/>
    <s v="POP48WY"/>
  </r>
  <r>
    <n v="5341884086"/>
    <s v="PO"/>
    <s v="S23TN"/>
    <x v="0"/>
    <n v="1970"/>
    <x v="19"/>
    <s v="POS23TN"/>
  </r>
  <r>
    <n v="5459753232"/>
    <s v="BSI"/>
    <s v="25284"/>
    <x v="1"/>
    <n v="1950"/>
    <x v="31"/>
    <s v="BSI25284"/>
  </r>
  <r>
    <n v="1617995032"/>
    <s v="PTU"/>
    <s v="56KC"/>
    <x v="0"/>
    <n v="2448"/>
    <x v="4"/>
    <s v="PTU56KC"/>
  </r>
  <r>
    <n v="5185759244"/>
    <s v="PO"/>
    <s v="Y32DP"/>
    <x v="1"/>
    <n v="2688"/>
    <x v="43"/>
    <s v="POY32DP"/>
  </r>
  <r>
    <n v="3568004264"/>
    <s v="LUB"/>
    <s v="C632"/>
    <x v="0"/>
    <n v="2185"/>
    <x v="16"/>
    <s v="LUBC632"/>
  </r>
  <r>
    <n v="1620242236"/>
    <s v="PN"/>
    <s v="4111S"/>
    <x v="1"/>
    <n v="3192"/>
    <x v="44"/>
    <s v="PN4111S"/>
  </r>
  <r>
    <n v="3470453173"/>
    <s v="LC"/>
    <s v="34570"/>
    <x v="1"/>
    <n v="2464"/>
    <x v="24"/>
    <s v="LC34570"/>
  </r>
  <r>
    <n v="6727559092"/>
    <s v="RTA"/>
    <s v="301J"/>
    <x v="1"/>
    <n v="2034"/>
    <x v="0"/>
    <s v="RTA301J"/>
  </r>
  <r>
    <n v="1127056356"/>
    <s v="PKS"/>
    <s v="Q564"/>
    <x v="0"/>
    <n v="2436"/>
    <x v="33"/>
    <s v="PKSQ564"/>
  </r>
  <r>
    <n v="6727559092"/>
    <s v="RTA"/>
    <s v="279H"/>
    <x v="1"/>
    <n v="2114"/>
    <x v="0"/>
    <s v="RTA279H"/>
  </r>
  <r>
    <n v="1939065269"/>
    <s v="PO"/>
    <s v="3941D"/>
    <x v="0"/>
    <n v="2390"/>
    <x v="20"/>
    <s v="PO3941D"/>
  </r>
  <r>
    <n v="1820566794"/>
    <s v="PP"/>
    <s v="27304"/>
    <x v="0"/>
    <n v="1932"/>
    <x v="45"/>
    <s v="PP27304"/>
  </r>
  <r>
    <n v="4241680809"/>
    <s v="PO"/>
    <s v="RD345"/>
    <x v="0"/>
    <n v="2720"/>
    <x v="28"/>
    <s v="PORD345"/>
  </r>
  <r>
    <n v="4458233905"/>
    <s v="DW"/>
    <s v="4356G"/>
    <x v="0"/>
    <n v="2478"/>
    <x v="37"/>
    <s v="DW4356G"/>
  </r>
  <r>
    <n v="1433397952"/>
    <s v="PN"/>
    <s v="16836"/>
    <x v="1"/>
    <n v="2434"/>
    <x v="25"/>
    <s v="PN16836"/>
  </r>
  <r>
    <n v="4779174699"/>
    <s v="DW"/>
    <s v="3851Q"/>
    <x v="0"/>
    <n v="2992"/>
    <x v="13"/>
    <s v="DW3851Q"/>
  </r>
  <r>
    <n v="5459753232"/>
    <s v="BSI"/>
    <s v="24880"/>
    <x v="1"/>
    <n v="1860"/>
    <x v="31"/>
    <s v="BSI24880"/>
  </r>
  <r>
    <n v="3318203338"/>
    <s v="PO"/>
    <s v="LF354"/>
    <x v="0"/>
    <n v="2427"/>
    <x v="39"/>
    <s v="POLF354"/>
  </r>
  <r>
    <n v="5514533376"/>
    <s v="SB"/>
    <s v="26294"/>
    <x v="1"/>
    <n v="2926"/>
    <x v="46"/>
    <s v="SB26294"/>
  </r>
  <r>
    <n v="5418968184"/>
    <s v="PO"/>
    <s v="O68AY"/>
    <x v="1"/>
    <n v="1902"/>
    <x v="17"/>
    <s v="POO68AY"/>
  </r>
  <r>
    <n v="4956781088"/>
    <s v="DGR"/>
    <s v="V720"/>
    <x v="0"/>
    <n v="1929"/>
    <x v="18"/>
    <s v="DGRV720"/>
  </r>
  <r>
    <n v="4241680809"/>
    <s v="PO"/>
    <s v="RL351"/>
    <x v="0"/>
    <n v="3056"/>
    <x v="28"/>
    <s v="PORL351"/>
  </r>
  <r>
    <n v="2599394621"/>
    <s v="PO"/>
    <s v="CS552"/>
    <x v="1"/>
    <n v="2818"/>
    <x v="9"/>
    <s v="POCS552"/>
  </r>
  <r>
    <n v="5115061689"/>
    <s v="SL"/>
    <s v="16892"/>
    <x v="0"/>
    <n v="3144"/>
    <x v="21"/>
    <s v="SL16892"/>
  </r>
  <r>
    <n v="3568004264"/>
    <s v="LUB"/>
    <s v="65ED"/>
    <x v="1"/>
    <n v="3060"/>
    <x v="16"/>
    <s v="LUB65ED"/>
  </r>
  <r>
    <n v="3470453173"/>
    <s v="LC"/>
    <s v="7897N"/>
    <x v="0"/>
    <n v="1866"/>
    <x v="24"/>
    <s v="LC7897N"/>
  </r>
  <r>
    <n v="2119268767"/>
    <s v="NEB"/>
    <s v="T606"/>
    <x v="1"/>
    <n v="2928"/>
    <x v="30"/>
    <s v="NEBT606"/>
  </r>
  <r>
    <n v="1246489959"/>
    <s v="PO"/>
    <s v="M54EB"/>
    <x v="1"/>
    <n v="2590"/>
    <x v="29"/>
    <s v="POM54EB"/>
  </r>
  <r>
    <n v="4779174699"/>
    <s v="DW"/>
    <s v="3871D"/>
    <x v="0"/>
    <n v="2445"/>
    <x v="13"/>
    <s v="DW3871D"/>
  </r>
  <r>
    <n v="4715154852"/>
    <s v="DW"/>
    <s v="579W"/>
    <x v="0"/>
    <n v="2780"/>
    <x v="14"/>
    <s v="DW579W"/>
  </r>
  <r>
    <n v="3568004264"/>
    <s v="LUB"/>
    <s v="61XF"/>
    <x v="0"/>
    <n v="2720"/>
    <x v="16"/>
    <s v="LUB61XF"/>
  </r>
  <r>
    <n v="5514533376"/>
    <s v="SB"/>
    <s v="26092"/>
    <x v="1"/>
    <n v="2136"/>
    <x v="46"/>
    <s v="SB26092"/>
  </r>
  <r>
    <n v="5528435390"/>
    <s v="PO"/>
    <s v="A44GU"/>
    <x v="0"/>
    <n v="2328"/>
    <x v="47"/>
    <s v="POA44GU"/>
  </r>
  <r>
    <n v="4779174699"/>
    <s v="DW"/>
    <s v="16842"/>
    <x v="0"/>
    <n v="2920"/>
    <x v="13"/>
    <s v="DW16842"/>
  </r>
  <r>
    <n v="4326751508"/>
    <s v="EL"/>
    <s v="64243"/>
    <x v="1"/>
    <n v="3324"/>
    <x v="22"/>
    <s v="EL64243"/>
  </r>
  <r>
    <n v="1620242236"/>
    <s v="PN"/>
    <s v="16906"/>
    <x v="0"/>
    <n v="2915"/>
    <x v="44"/>
    <s v="PN16906"/>
  </r>
  <r>
    <n v="6758177505"/>
    <s v="RTA"/>
    <s v="556V"/>
    <x v="1"/>
    <n v="1930"/>
    <x v="6"/>
    <s v="RTA556V"/>
  </r>
  <r>
    <n v="6727559092"/>
    <s v="RTA"/>
    <s v="246F"/>
    <x v="1"/>
    <n v="2361"/>
    <x v="0"/>
    <s v="RTA246F"/>
  </r>
  <r>
    <n v="4241680809"/>
    <s v="PO"/>
    <s v="R79LM"/>
    <x v="1"/>
    <n v="1863"/>
    <x v="28"/>
    <s v="POR79LM"/>
  </r>
  <r>
    <n v="4326751508"/>
    <s v="SB"/>
    <s v="48689"/>
    <x v="0"/>
    <n v="2420"/>
    <x v="22"/>
    <s v="SB48689"/>
  </r>
  <r>
    <n v="3470453173"/>
    <s v="LC"/>
    <s v="34572"/>
    <x v="1"/>
    <n v="2625"/>
    <x v="24"/>
    <s v="LC34572"/>
  </r>
  <r>
    <n v="3579231044"/>
    <s v="LLE"/>
    <s v="G712"/>
    <x v="1"/>
    <n v="2314"/>
    <x v="48"/>
    <s v="LLEG712"/>
  </r>
  <r>
    <n v="2119268767"/>
    <s v="NEB"/>
    <s v="57SX"/>
    <x v="1"/>
    <n v="2340"/>
    <x v="30"/>
    <s v="NEB57SX"/>
  </r>
  <r>
    <n v="1620242236"/>
    <s v="PN"/>
    <s v="4101U"/>
    <x v="0"/>
    <n v="2181"/>
    <x v="44"/>
    <s v="PN4101U"/>
  </r>
  <r>
    <n v="4326751508"/>
    <s v="SB"/>
    <s v="45356"/>
    <x v="0"/>
    <n v="2800"/>
    <x v="22"/>
    <s v="SB45356"/>
  </r>
  <r>
    <n v="1278408463"/>
    <s v="PKO"/>
    <s v="27LS"/>
    <x v="1"/>
    <n v="2589"/>
    <x v="35"/>
    <s v="PKO27LS"/>
  </r>
  <r>
    <n v="1939065269"/>
    <s v="PO"/>
    <s v="3931S"/>
    <x v="0"/>
    <n v="2360"/>
    <x v="20"/>
    <s v="PO3931S"/>
  </r>
  <r>
    <n v="3783578981"/>
    <s v="EL"/>
    <s v="28314"/>
    <x v="1"/>
    <n v="2185"/>
    <x v="26"/>
    <s v="EL28314"/>
  </r>
  <r>
    <n v="4241680809"/>
    <s v="PO"/>
    <s v="RK350"/>
    <x v="0"/>
    <n v="2319"/>
    <x v="28"/>
    <s v="PORK350"/>
  </r>
  <r>
    <n v="4761158900"/>
    <s v="OKL"/>
    <s v="86463"/>
    <x v="0"/>
    <n v="2208"/>
    <x v="32"/>
    <s v="OKL86463"/>
  </r>
  <r>
    <n v="3866883575"/>
    <s v="LU"/>
    <s v="3581R"/>
    <x v="1"/>
    <n v="1520"/>
    <x v="1"/>
    <s v="LU3581R"/>
  </r>
  <r>
    <n v="1127056356"/>
    <s v="PKS"/>
    <s v="S566"/>
    <x v="0"/>
    <n v="2050"/>
    <x v="33"/>
    <s v="PKSS566"/>
  </r>
  <r>
    <n v="1620242236"/>
    <s v="PN"/>
    <s v="16904"/>
    <x v="1"/>
    <n v="2336"/>
    <x v="44"/>
    <s v="PN16904"/>
  </r>
  <r>
    <n v="6727559092"/>
    <s v="RTA"/>
    <s v="356J"/>
    <x v="1"/>
    <n v="2034"/>
    <x v="0"/>
    <s v="RTA356J"/>
  </r>
  <r>
    <n v="3318203338"/>
    <s v="PO"/>
    <s v="LD355"/>
    <x v="1"/>
    <n v="1900"/>
    <x v="39"/>
    <s v="POLD355"/>
  </r>
  <r>
    <n v="5185759244"/>
    <s v="PO"/>
    <s v="Y30EJ"/>
    <x v="0"/>
    <n v="2277"/>
    <x v="43"/>
    <s v="POY30EJ"/>
  </r>
  <r>
    <n v="3866883575"/>
    <s v="LU"/>
    <s v="3571C"/>
    <x v="1"/>
    <n v="2994"/>
    <x v="1"/>
    <s v="LU3571C"/>
  </r>
  <r>
    <n v="6727559092"/>
    <s v="RTA"/>
    <s v="367J"/>
    <x v="1"/>
    <n v="2315"/>
    <x v="0"/>
    <s v="RTA367J"/>
  </r>
  <r>
    <n v="1165493421"/>
    <s v="PO"/>
    <s v="L74SB"/>
    <x v="1"/>
    <n v="2560"/>
    <x v="2"/>
    <s v="POL74SB"/>
  </r>
  <r>
    <n v="4796841112"/>
    <s v="DOA"/>
    <s v="A682"/>
    <x v="1"/>
    <n v="2391"/>
    <x v="27"/>
    <s v="DOAA682"/>
  </r>
  <r>
    <n v="5115061689"/>
    <s v="SL"/>
    <s v="16896"/>
    <x v="1"/>
    <n v="2085"/>
    <x v="21"/>
    <s v="SL16896"/>
  </r>
  <r>
    <n v="1599095267"/>
    <s v="PO"/>
    <s v="PK128"/>
    <x v="1"/>
    <n v="2105"/>
    <x v="49"/>
    <s v="POPK128"/>
  </r>
  <r>
    <n v="3866883575"/>
    <s v="LU"/>
    <s v="16788"/>
    <x v="1"/>
    <n v="1928"/>
    <x v="1"/>
    <s v="LU16788"/>
  </r>
  <r>
    <n v="4779174699"/>
    <s v="DW"/>
    <s v="3901W"/>
    <x v="0"/>
    <n v="1852"/>
    <x v="13"/>
    <s v="DW3901W"/>
  </r>
  <r>
    <n v="3866883575"/>
    <s v="LU"/>
    <s v="16792"/>
    <x v="1"/>
    <n v="2784"/>
    <x v="1"/>
    <s v="LU16792"/>
  </r>
  <r>
    <n v="4779174699"/>
    <s v="DW"/>
    <s v="3891T"/>
    <x v="1"/>
    <n v="2348"/>
    <x v="13"/>
    <s v="DW3891T"/>
  </r>
  <r>
    <n v="3318203338"/>
    <s v="SJ"/>
    <s v="LR356"/>
    <x v="1"/>
    <n v="2305"/>
    <x v="39"/>
    <s v="SJLR356"/>
  </r>
  <r>
    <n v="1433397952"/>
    <s v="PN"/>
    <s v="16830"/>
    <x v="0"/>
    <n v="2282"/>
    <x v="25"/>
    <s v="PN16830"/>
  </r>
  <r>
    <n v="4326751508"/>
    <s v="EL"/>
    <s v="59799"/>
    <x v="0"/>
    <n v="2408"/>
    <x v="22"/>
    <s v="EL59799"/>
  </r>
  <r>
    <n v="3470453173"/>
    <s v="LC"/>
    <s v="34566"/>
    <x v="1"/>
    <n v="1835"/>
    <x v="24"/>
    <s v="LC34566"/>
  </r>
  <r>
    <n v="3783578981"/>
    <s v="EL"/>
    <s v="28112"/>
    <x v="0"/>
    <n v="1869"/>
    <x v="26"/>
    <s v="EL28112"/>
  </r>
  <r>
    <n v="3568004264"/>
    <s v="LUB"/>
    <s v="F628"/>
    <x v="1"/>
    <n v="1804"/>
    <x v="16"/>
    <s v="LUBF628"/>
  </r>
  <r>
    <n v="6758177505"/>
    <s v="RTA"/>
    <s v="501V"/>
    <x v="0"/>
    <n v="2990"/>
    <x v="6"/>
    <s v="RTA501V"/>
  </r>
  <r>
    <n v="5115061689"/>
    <s v="SL"/>
    <s v="16894"/>
    <x v="0"/>
    <n v="2840"/>
    <x v="21"/>
    <s v="SL16894"/>
  </r>
  <r>
    <n v="5418968184"/>
    <s v="SJ"/>
    <s v="O62FG"/>
    <x v="1"/>
    <n v="1929"/>
    <x v="17"/>
    <s v="SJO62FG"/>
  </r>
  <r>
    <n v="2581219876"/>
    <s v="NEB"/>
    <s v="H724"/>
    <x v="0"/>
    <n v="2506"/>
    <x v="15"/>
    <s v="NEBH724"/>
  </r>
  <r>
    <n v="1127056356"/>
    <s v="PKS"/>
    <s v="W570"/>
    <x v="1"/>
    <n v="2924"/>
    <x v="33"/>
    <s v="PKSW570"/>
  </r>
  <r>
    <n v="5528435390"/>
    <s v="SJ"/>
    <s v="A38DW"/>
    <x v="0"/>
    <n v="2283"/>
    <x v="47"/>
    <s v="SJA38DW"/>
  </r>
  <r>
    <n v="4241680809"/>
    <s v="SJ"/>
    <s v="R78KN"/>
    <x v="0"/>
    <n v="2350"/>
    <x v="28"/>
    <s v="SJR78KN"/>
  </r>
  <r>
    <n v="2245871126"/>
    <s v="TBU"/>
    <s v="24274"/>
    <x v="0"/>
    <n v="2340"/>
    <x v="40"/>
    <s v="TBU24274"/>
  </r>
  <r>
    <n v="1620242236"/>
    <s v="PN"/>
    <s v="16900"/>
    <x v="0"/>
    <n v="2368"/>
    <x v="44"/>
    <s v="PN16900"/>
  </r>
  <r>
    <n v="4796841112"/>
    <s v="DOA"/>
    <s v="D684"/>
    <x v="0"/>
    <n v="3336"/>
    <x v="27"/>
    <s v="DOAD684"/>
  </r>
  <r>
    <n v="3783578981"/>
    <s v="EL"/>
    <s v="27708"/>
    <x v="0"/>
    <n v="2510"/>
    <x v="26"/>
    <s v="EL27708"/>
  </r>
  <r>
    <n v="5115061689"/>
    <s v="SRS"/>
    <s v="L668"/>
    <x v="0"/>
    <n v="2358"/>
    <x v="21"/>
    <s v="SRSL668"/>
  </r>
  <r>
    <n v="6758177505"/>
    <s v="OPO"/>
    <s v="479M"/>
    <x v="0"/>
    <n v="3104"/>
    <x v="6"/>
    <s v="OPO479M"/>
  </r>
  <r>
    <n v="2138598159"/>
    <s v="NEL"/>
    <s v="P588"/>
    <x v="0"/>
    <n v="2391"/>
    <x v="3"/>
    <s v="NELP588"/>
  </r>
  <r>
    <n v="1524870307"/>
    <s v="SJ"/>
    <s v="N91XU"/>
    <x v="0"/>
    <n v="2790"/>
    <x v="38"/>
    <s v="SJN91XU"/>
  </r>
  <r>
    <n v="4796841112"/>
    <s v="DOA"/>
    <s v="L678"/>
    <x v="0"/>
    <n v="1796"/>
    <x v="27"/>
    <s v="DOAL678"/>
  </r>
  <r>
    <n v="3470453173"/>
    <s v="LC"/>
    <s v="34574"/>
    <x v="0"/>
    <n v="1790"/>
    <x v="24"/>
    <s v="LC34574"/>
  </r>
  <r>
    <n v="4761158900"/>
    <s v="OKL"/>
    <s v="87574"/>
    <x v="1"/>
    <n v="2460"/>
    <x v="32"/>
    <s v="OKL87574"/>
  </r>
  <r>
    <n v="3866883575"/>
    <s v="LU"/>
    <s v="3561B"/>
    <x v="0"/>
    <n v="3300"/>
    <x v="1"/>
    <s v="LU3561B"/>
  </r>
  <r>
    <n v="4326751508"/>
    <s v="EL"/>
    <s v="60910"/>
    <x v="0"/>
    <n v="2365"/>
    <x v="22"/>
    <s v="EL60910"/>
  </r>
  <r>
    <n v="1278408463"/>
    <s v="PKO"/>
    <s v="N574"/>
    <x v="1"/>
    <n v="3270"/>
    <x v="35"/>
    <s v="PKON574"/>
  </r>
  <r>
    <n v="4326751508"/>
    <s v="EL"/>
    <s v="65354"/>
    <x v="0"/>
    <n v="1835"/>
    <x v="22"/>
    <s v="EL65354"/>
  </r>
  <r>
    <n v="1581329071"/>
    <s v="SJ"/>
    <s v="E95RH"/>
    <x v="1"/>
    <n v="2320"/>
    <x v="23"/>
    <s v="SJE95RH"/>
  </r>
  <r>
    <n v="1620242236"/>
    <s v="PN"/>
    <s v="16902"/>
    <x v="0"/>
    <n v="2067"/>
    <x v="44"/>
    <s v="PN16902"/>
  </r>
  <r>
    <n v="2214740049"/>
    <s v="NBR"/>
    <s v="S706"/>
    <x v="0"/>
    <n v="2366"/>
    <x v="50"/>
    <s v="NBRS706"/>
  </r>
  <r>
    <n v="1433397952"/>
    <s v="PN"/>
    <s v="3631H"/>
    <x v="0"/>
    <n v="1990"/>
    <x v="25"/>
    <s v="PN3631H"/>
  </r>
  <r>
    <n v="2581219876"/>
    <s v="NEB"/>
    <s v="94MD"/>
    <x v="1"/>
    <n v="2120"/>
    <x v="15"/>
    <s v="NEB94MD"/>
  </r>
  <r>
    <n v="3470453173"/>
    <s v="LC"/>
    <s v="34576"/>
    <x v="1"/>
    <n v="1620"/>
    <x v="24"/>
    <s v="LC34576"/>
  </r>
  <r>
    <n v="4761158900"/>
    <s v="OKL"/>
    <s v="76464"/>
    <x v="0"/>
    <n v="2080"/>
    <x v="32"/>
    <s v="OKL76464"/>
  </r>
  <r>
    <n v="1820566794"/>
    <s v="PP"/>
    <s v="27102"/>
    <x v="1"/>
    <n v="2658"/>
    <x v="45"/>
    <s v="PP27102"/>
  </r>
  <r>
    <n v="4761158900"/>
    <s v="OKL"/>
    <s v="80908"/>
    <x v="1"/>
    <n v="2582"/>
    <x v="32"/>
    <s v="OKL80908"/>
  </r>
  <r>
    <n v="1278408463"/>
    <s v="PKO"/>
    <s v="25JE"/>
    <x v="1"/>
    <n v="2852"/>
    <x v="35"/>
    <s v="PKO25JE"/>
  </r>
  <r>
    <n v="5229945534"/>
    <s v="SJ"/>
    <s v="G40VV"/>
    <x v="0"/>
    <n v="1968"/>
    <x v="11"/>
    <s v="SJG40VV"/>
  </r>
  <r>
    <n v="3783578981"/>
    <s v="EL"/>
    <s v="28718"/>
    <x v="0"/>
    <n v="3160"/>
    <x v="26"/>
    <s v="EL28718"/>
  </r>
  <r>
    <n v="4458233905"/>
    <s v="DW"/>
    <s v="45333"/>
    <x v="1"/>
    <n v="2022"/>
    <x v="37"/>
    <s v="DW45333"/>
  </r>
  <r>
    <n v="1871447797"/>
    <s v="SJ"/>
    <s v="O54JT"/>
    <x v="0"/>
    <n v="2350"/>
    <x v="51"/>
    <s v="SJO54JT"/>
  </r>
  <r>
    <n v="4761158900"/>
    <s v="OKL"/>
    <s v="82019"/>
    <x v="1"/>
    <n v="2468"/>
    <x v="32"/>
    <s v="OKL82019"/>
  </r>
  <r>
    <n v="2581219876"/>
    <s v="NEB"/>
    <s v="6C31"/>
    <x v="0"/>
    <n v="2610"/>
    <x v="15"/>
    <s v="NEB6C31"/>
  </r>
  <r>
    <n v="4580185570"/>
    <s v="SJ"/>
    <s v="JJ547"/>
    <x v="1"/>
    <n v="3204"/>
    <x v="52"/>
    <s v="SJJJ547"/>
  </r>
  <r>
    <n v="1599095267"/>
    <s v="SJ"/>
    <s v="PP132"/>
    <x v="1"/>
    <n v="2516"/>
    <x v="49"/>
    <s v="SJPP132"/>
  </r>
  <r>
    <n v="3357631311"/>
    <s v="LZA"/>
    <s v="V638"/>
    <x v="1"/>
    <n v="1792"/>
    <x v="53"/>
    <s v="LZAV638"/>
  </r>
  <r>
    <n v="4241680809"/>
    <s v="SO"/>
    <s v="RH348"/>
    <x v="0"/>
    <n v="2885"/>
    <x v="28"/>
    <s v="SORH348"/>
  </r>
  <r>
    <n v="2281651150"/>
    <s v="NOL"/>
    <s v="16LG"/>
    <x v="1"/>
    <n v="2550"/>
    <x v="41"/>
    <s v="NOL16LG"/>
  </r>
  <r>
    <n v="4779174699"/>
    <s v="DW"/>
    <s v="3881E"/>
    <x v="0"/>
    <n v="2362"/>
    <x v="13"/>
    <s v="DW3881E"/>
  </r>
  <r>
    <n v="5624201652"/>
    <s v="STA"/>
    <s v="97AK"/>
    <x v="0"/>
    <n v="3216"/>
    <x v="54"/>
    <s v="STA97AK"/>
  </r>
  <r>
    <n v="3866883575"/>
    <s v="LU"/>
    <s v="16798"/>
    <x v="1"/>
    <n v="2034"/>
    <x v="1"/>
    <s v="LU16798"/>
  </r>
  <r>
    <n v="4796841112"/>
    <s v="DOA"/>
    <s v="K674"/>
    <x v="1"/>
    <n v="1885"/>
    <x v="27"/>
    <s v="DOAK674"/>
  </r>
  <r>
    <n v="5341884086"/>
    <s v="SO"/>
    <s v="SB135"/>
    <x v="1"/>
    <n v="2490"/>
    <x v="19"/>
    <s v="SOSB135"/>
  </r>
  <r>
    <n v="4779174699"/>
    <s v="DW"/>
    <s v="3831W"/>
    <x v="0"/>
    <n v="2580"/>
    <x v="13"/>
    <s v="DW3831W"/>
  </r>
  <r>
    <n v="5514533376"/>
    <s v="SB"/>
    <s v="26698"/>
    <x v="0"/>
    <n v="2634"/>
    <x v="46"/>
    <s v="SB26698"/>
  </r>
  <r>
    <n v="3470453173"/>
    <s v="LC"/>
    <s v="7901K"/>
    <x v="1"/>
    <n v="2584"/>
    <x v="24"/>
    <s v="LC7901K"/>
  </r>
  <r>
    <n v="4796841112"/>
    <s v="DOA"/>
    <s v="U676"/>
    <x v="0"/>
    <n v="2576"/>
    <x v="27"/>
    <s v="DOAU676"/>
  </r>
  <r>
    <n v="5266741491"/>
    <s v="SO"/>
    <s v="P44AB"/>
    <x v="1"/>
    <n v="1946"/>
    <x v="42"/>
    <s v="SOP44AB"/>
  </r>
  <r>
    <n v="4715154852"/>
    <s v="DW"/>
    <s v="23613"/>
    <x v="0"/>
    <n v="2880"/>
    <x v="14"/>
    <s v="DW23613"/>
  </r>
  <r>
    <n v="5418968184"/>
    <s v="SO"/>
    <s v="O64VB"/>
    <x v="0"/>
    <n v="2630"/>
    <x v="17"/>
    <s v="SOO64VB"/>
  </r>
  <r>
    <n v="1599095267"/>
    <s v="SO"/>
    <s v="PL129"/>
    <x v="1"/>
    <n v="2112"/>
    <x v="49"/>
    <s v="SOPL129"/>
  </r>
  <r>
    <n v="1433397952"/>
    <s v="PN"/>
    <s v="3621I"/>
    <x v="0"/>
    <n v="2928"/>
    <x v="25"/>
    <s v="PN3621I"/>
  </r>
  <r>
    <n v="2281651150"/>
    <s v="NOL"/>
    <s v="N650"/>
    <x v="1"/>
    <n v="2295"/>
    <x v="41"/>
    <s v="NOLN650"/>
  </r>
  <r>
    <n v="5341884086"/>
    <s v="SO"/>
    <s v="S34YB"/>
    <x v="0"/>
    <n v="2556"/>
    <x v="19"/>
    <s v="SOS34YB"/>
  </r>
  <r>
    <n v="3568004264"/>
    <s v="LUB"/>
    <s v="Z620"/>
    <x v="0"/>
    <n v="2568"/>
    <x v="16"/>
    <s v="LUBZ620"/>
  </r>
  <r>
    <n v="5185759244"/>
    <s v="SO"/>
    <s v="Y28XU"/>
    <x v="0"/>
    <n v="2674"/>
    <x v="43"/>
    <s v="SOY28XU"/>
  </r>
  <r>
    <n v="4326751508"/>
    <s v="SB"/>
    <s v="47578"/>
    <x v="0"/>
    <n v="3120"/>
    <x v="22"/>
    <s v="SB47578"/>
  </r>
  <r>
    <n v="1433397952"/>
    <s v="PN"/>
    <s v="16834"/>
    <x v="1"/>
    <n v="1896"/>
    <x v="25"/>
    <s v="PN16834"/>
  </r>
  <r>
    <n v="4779174699"/>
    <s v="DW"/>
    <s v="16844"/>
    <x v="1"/>
    <n v="2608"/>
    <x v="13"/>
    <s v="DW16844"/>
  </r>
  <r>
    <n v="3678947206"/>
    <s v="ONY"/>
    <s v="1267"/>
    <x v="1"/>
    <n v="2154"/>
    <x v="55"/>
    <s v="ONY1267"/>
  </r>
  <r>
    <n v="1939065269"/>
    <s v="PO"/>
    <s v="16882"/>
    <x v="0"/>
    <n v="2328"/>
    <x v="20"/>
    <s v="PO16882"/>
  </r>
  <r>
    <n v="5514533376"/>
    <s v="DJE"/>
    <s v="25688"/>
    <x v="0"/>
    <n v="2548"/>
    <x v="46"/>
    <s v="DJE25688"/>
  </r>
  <r>
    <n v="5115061689"/>
    <s v="SRS"/>
    <s v="J666"/>
    <x v="1"/>
    <n v="1902"/>
    <x v="21"/>
    <s v="SRSJ666"/>
  </r>
  <r>
    <n v="4326751508"/>
    <s v="DJE"/>
    <s v="52022"/>
    <x v="0"/>
    <n v="2456"/>
    <x v="22"/>
    <s v="DJE52022"/>
  </r>
  <r>
    <n v="1278408463"/>
    <s v="PKO"/>
    <s v="94RF"/>
    <x v="1"/>
    <n v="2544"/>
    <x v="35"/>
    <s v="PKO94RF"/>
  </r>
  <r>
    <n v="5528435390"/>
    <s v="SO"/>
    <s v="A40FT"/>
    <x v="0"/>
    <n v="3495"/>
    <x v="47"/>
    <s v="SOA40FT"/>
  </r>
  <r>
    <n v="2138598159"/>
    <s v="NEL"/>
    <s v="B596"/>
    <x v="0"/>
    <n v="2550"/>
    <x v="3"/>
    <s v="NELB596"/>
  </r>
  <r>
    <n v="1599095267"/>
    <s v="SO"/>
    <s v="PW131"/>
    <x v="1"/>
    <n v="2448"/>
    <x v="49"/>
    <s v="SOPW131"/>
  </r>
  <r>
    <n v="5341884086"/>
    <s v="SO"/>
    <s v="SX136"/>
    <x v="0"/>
    <n v="3645"/>
    <x v="19"/>
    <s v="SOSX136"/>
  </r>
  <r>
    <n v="1433397952"/>
    <s v="PN"/>
    <s v="16822"/>
    <x v="1"/>
    <n v="2935"/>
    <x v="25"/>
    <s v="PN16822"/>
  </r>
  <r>
    <n v="2138598159"/>
    <s v="NEL"/>
    <s v="I594"/>
    <x v="1"/>
    <n v="2834"/>
    <x v="3"/>
    <s v="NELI594"/>
  </r>
  <r>
    <n v="2625657803"/>
    <s v="SO"/>
    <s v="U50HG"/>
    <x v="1"/>
    <n v="1624"/>
    <x v="5"/>
    <s v="SOU50HG"/>
  </r>
  <r>
    <n v="1939065269"/>
    <s v="PO"/>
    <s v="3951A"/>
    <x v="0"/>
    <n v="2574"/>
    <x v="20"/>
    <s v="PO3951A"/>
  </r>
  <r>
    <n v="4326751508"/>
    <s v="DJE"/>
    <s v="54244"/>
    <x v="1"/>
    <n v="1806"/>
    <x v="22"/>
    <s v="DJE54244"/>
  </r>
  <r>
    <n v="2138598159"/>
    <s v="NEL"/>
    <s v="H592"/>
    <x v="1"/>
    <n v="3204"/>
    <x v="3"/>
    <s v="NELH592"/>
  </r>
  <r>
    <n v="4779174699"/>
    <s v="DW"/>
    <s v="3861S"/>
    <x v="1"/>
    <n v="1618"/>
    <x v="13"/>
    <s v="DW3861S"/>
  </r>
  <r>
    <n v="3568004264"/>
    <s v="LUB"/>
    <s v="X626"/>
    <x v="1"/>
    <n v="2720"/>
    <x v="16"/>
    <s v="LUBX626"/>
  </r>
  <r>
    <n v="5115061689"/>
    <s v="SRS"/>
    <s v="18IT"/>
    <x v="1"/>
    <n v="3192"/>
    <x v="21"/>
    <s v="SRS18IT"/>
  </r>
  <r>
    <n v="1361555378"/>
    <s v="SZ"/>
    <s v="WS237"/>
    <x v="1"/>
    <n v="2559"/>
    <x v="34"/>
    <s v="SZWS237"/>
  </r>
  <r>
    <n v="3866883575"/>
    <s v="LU"/>
    <s v="16796"/>
    <x v="0"/>
    <n v="2145"/>
    <x v="1"/>
    <s v="LU16796"/>
  </r>
  <r>
    <n v="4761158900"/>
    <s v="OKL"/>
    <s v="73131"/>
    <x v="0"/>
    <n v="2674"/>
    <x v="32"/>
    <s v="OKL73131"/>
  </r>
  <r>
    <n v="4779174699"/>
    <s v="DW"/>
    <s v="16846"/>
    <x v="0"/>
    <n v="2192"/>
    <x v="13"/>
    <s v="DW16846"/>
  </r>
  <r>
    <n v="6727559092"/>
    <s v="OPO"/>
    <s v="345G"/>
    <x v="0"/>
    <n v="2480"/>
    <x v="0"/>
    <s v="OPO345G"/>
  </r>
  <r>
    <n v="4761158900"/>
    <s v="BIA"/>
    <s v="78686"/>
    <x v="1"/>
    <n v="2578"/>
    <x v="32"/>
    <s v="BIA78686"/>
  </r>
  <r>
    <n v="4761158900"/>
    <s v="BIA"/>
    <s v="77575"/>
    <x v="1"/>
    <n v="1774"/>
    <x v="32"/>
    <s v="BIA77575"/>
  </r>
  <r>
    <n v="2394072755"/>
    <s v="SZ"/>
    <s v="EU125"/>
    <x v="1"/>
    <n v="750"/>
    <x v="56"/>
    <s v="SZEU125"/>
  </r>
  <r>
    <n v="1939065269"/>
    <s v="PO"/>
    <s v="16888"/>
    <x v="0"/>
    <n v="2562"/>
    <x v="20"/>
    <s v="PO16888"/>
  </r>
  <r>
    <n v="3114182744"/>
    <s v="SZ"/>
    <s v="S97VV"/>
    <x v="0"/>
    <n v="1959"/>
    <x v="36"/>
    <s v="SZS97VV"/>
  </r>
  <r>
    <n v="4326751508"/>
    <s v="EL"/>
    <s v="62021"/>
    <x v="0"/>
    <n v="2624"/>
    <x v="22"/>
    <s v="EL62021"/>
  </r>
  <r>
    <n v="4326751508"/>
    <s v="DJE"/>
    <s v="50911"/>
    <x v="1"/>
    <n v="2760"/>
    <x v="22"/>
    <s v="DJE50911"/>
  </r>
  <r>
    <n v="3568004264"/>
    <s v="LUB"/>
    <s v="D622"/>
    <x v="0"/>
    <n v="2404"/>
    <x v="16"/>
    <s v="LUBD622"/>
  </r>
  <r>
    <n v="1278408463"/>
    <s v="PN"/>
    <s v="16780"/>
    <x v="0"/>
    <n v="2328"/>
    <x v="35"/>
    <s v="PN16780"/>
  </r>
  <r>
    <n v="5185759244"/>
    <s v="SZ"/>
    <s v="Y26SL"/>
    <x v="1"/>
    <n v="2610"/>
    <x v="43"/>
    <s v="SZY26SL"/>
  </r>
  <r>
    <n v="4761158900"/>
    <s v="BIA"/>
    <s v="75353"/>
    <x v="0"/>
    <n v="2010"/>
    <x v="32"/>
    <s v="BIA75353"/>
  </r>
  <r>
    <n v="4326751508"/>
    <s v="PL"/>
    <s v="68687"/>
    <x v="0"/>
    <n v="2196"/>
    <x v="22"/>
    <s v="PL68687"/>
  </r>
  <r>
    <n v="6758177505"/>
    <s v="OPO"/>
    <s v="523S"/>
    <x v="1"/>
    <n v="2095"/>
    <x v="6"/>
    <s v="OPO523S"/>
  </r>
  <r>
    <n v="1617995032"/>
    <s v="PTU"/>
    <s v="J688"/>
    <x v="0"/>
    <n v="1899"/>
    <x v="4"/>
    <s v="PTUJ688"/>
  </r>
  <r>
    <n v="1433397952"/>
    <s v="PN"/>
    <s v="3651R"/>
    <x v="1"/>
    <n v="2180"/>
    <x v="25"/>
    <s v="PN3651R"/>
  </r>
  <r>
    <n v="5115061689"/>
    <s v="SRS"/>
    <s v="G664"/>
    <x v="1"/>
    <n v="1864"/>
    <x v="21"/>
    <s v="SRSG664"/>
  </r>
  <r>
    <n v="4761158900"/>
    <s v="BIA"/>
    <s v="84241"/>
    <x v="1"/>
    <n v="2172"/>
    <x v="32"/>
    <s v="BIA84241"/>
  </r>
  <r>
    <n v="4761158900"/>
    <s v="BIA"/>
    <s v="85352"/>
    <x v="0"/>
    <n v="1950"/>
    <x v="32"/>
    <s v="BIA85352"/>
  </r>
  <r>
    <n v="2119268767"/>
    <s v="NEB"/>
    <s v="V602"/>
    <x v="1"/>
    <n v="2115"/>
    <x v="30"/>
    <s v="NEBV602"/>
  </r>
  <r>
    <n v="3866883575"/>
    <s v="LU"/>
    <s v="16790"/>
    <x v="1"/>
    <n v="2457"/>
    <x v="1"/>
    <s v="LU16790"/>
  </r>
  <r>
    <n v="2394072755"/>
    <s v="SZ"/>
    <s v="ET124"/>
    <x v="1"/>
    <n v="2792"/>
    <x v="56"/>
    <s v="SZET124"/>
  </r>
  <r>
    <n v="6758177505"/>
    <s v="OPO"/>
    <s v="567K"/>
    <x v="1"/>
    <n v="2915"/>
    <x v="6"/>
    <s v="OPO567K"/>
  </r>
  <r>
    <n v="4326751508"/>
    <s v="PL"/>
    <s v="63132"/>
    <x v="0"/>
    <n v="1515"/>
    <x v="22"/>
    <s v="PL63132"/>
  </r>
  <r>
    <n v="2394072755"/>
    <s v="SZ"/>
    <s v="EU126"/>
    <x v="1"/>
    <n v="2330"/>
    <x v="56"/>
    <s v="SZEU126"/>
  </r>
  <r>
    <n v="4326751508"/>
    <s v="PL"/>
    <s v="66465"/>
    <x v="0"/>
    <n v="2245"/>
    <x v="22"/>
    <s v="PL66465"/>
  </r>
  <r>
    <n v="5341884086"/>
    <s v="SZ"/>
    <s v="S45UV"/>
    <x v="0"/>
    <n v="2880"/>
    <x v="19"/>
    <s v="SZS45UV"/>
  </r>
  <r>
    <n v="1581329071"/>
    <s v="SZ"/>
    <s v="E94CB"/>
    <x v="0"/>
    <n v="2270"/>
    <x v="23"/>
    <s v="SZE94CB"/>
  </r>
  <r>
    <n v="5341884086"/>
    <s v="SZ"/>
    <s v="SD137"/>
    <x v="0"/>
    <n v="2748"/>
    <x v="19"/>
    <s v="SZSD137"/>
  </r>
  <r>
    <n v="4241680809"/>
    <s v="SZ"/>
    <s v="R80LN"/>
    <x v="1"/>
    <n v="1995"/>
    <x v="28"/>
    <s v="SZR80LN"/>
  </r>
  <r>
    <n v="5229945534"/>
    <s v="SZ"/>
    <s v="G36RH"/>
    <x v="0"/>
    <n v="3276"/>
    <x v="11"/>
    <s v="SZG36RH"/>
  </r>
  <r>
    <n v="2281651150"/>
    <s v="NOL"/>
    <s v="99KC"/>
    <x v="0"/>
    <n v="1622"/>
    <x v="41"/>
    <s v="NOL99KC"/>
  </r>
  <r>
    <n v="6727559092"/>
    <s v="OPO"/>
    <s v="378G"/>
    <x v="1"/>
    <n v="2208"/>
    <x v="0"/>
    <s v="OPO378G"/>
  </r>
  <r>
    <n v="3678947206"/>
    <s v="ONY"/>
    <s v="1278"/>
    <x v="0"/>
    <n v="2065"/>
    <x v="55"/>
    <s v="ONY1278"/>
  </r>
  <r>
    <n v="2119268767"/>
    <s v="NEB"/>
    <s v="T600"/>
    <x v="1"/>
    <n v="1772"/>
    <x v="30"/>
    <s v="NEBT600"/>
  </r>
  <r>
    <n v="3568004264"/>
    <s v="LUB"/>
    <s v="63AR"/>
    <x v="1"/>
    <n v="2175"/>
    <x v="16"/>
    <s v="LUB63AR"/>
  </r>
  <r>
    <n v="4326751508"/>
    <s v="DJE"/>
    <s v="53133"/>
    <x v="1"/>
    <n v="2958"/>
    <x v="22"/>
    <s v="DJE53133"/>
  </r>
  <r>
    <n v="4796841112"/>
    <s v="DOA"/>
    <s v="I680"/>
    <x v="0"/>
    <n v="2792"/>
    <x v="27"/>
    <s v="DOAI680"/>
  </r>
  <r>
    <n v="2138598159"/>
    <s v="NEL"/>
    <s v="M590"/>
    <x v="0"/>
    <n v="2049"/>
    <x v="3"/>
    <s v="NELM590"/>
  </r>
  <r>
    <n v="1617995032"/>
    <s v="PTU"/>
    <s v="5F12"/>
    <x v="1"/>
    <n v="1946"/>
    <x v="4"/>
    <s v="PTU5F12"/>
  </r>
  <r>
    <n v="1278408463"/>
    <s v="PKO"/>
    <s v="F572"/>
    <x v="0"/>
    <n v="2722"/>
    <x v="35"/>
    <s v="PKOF572"/>
  </r>
  <r>
    <n v="3345883725"/>
    <s v="LUB"/>
    <s v="J742"/>
    <x v="1"/>
    <n v="2344"/>
    <x v="57"/>
    <s v="LUBJ742"/>
  </r>
  <r>
    <n v="5528435390"/>
    <s v="SZ"/>
    <s v="A42FY"/>
    <x v="1"/>
    <n v="2465"/>
    <x v="47"/>
    <s v="SZA42FY"/>
  </r>
  <r>
    <n v="3783578981"/>
    <s v="PL"/>
    <s v="27910"/>
    <x v="1"/>
    <n v="2174"/>
    <x v="26"/>
    <s v="PL27910"/>
  </r>
  <r>
    <n v="4761158900"/>
    <s v="BIA"/>
    <s v="79797"/>
    <x v="0"/>
    <n v="1812"/>
    <x v="32"/>
    <s v="BIA79797"/>
  </r>
  <r>
    <n v="4715154852"/>
    <s v="DW"/>
    <s v="601H"/>
    <x v="0"/>
    <n v="2800"/>
    <x v="14"/>
    <s v="DW601H"/>
  </r>
  <r>
    <n v="2581219876"/>
    <s v="NEB"/>
    <s v="U728"/>
    <x v="1"/>
    <n v="2478"/>
    <x v="15"/>
    <s v="NEBU728"/>
  </r>
  <r>
    <n v="2245871126"/>
    <s v="TBU"/>
    <s v="23870"/>
    <x v="0"/>
    <n v="2562"/>
    <x v="40"/>
    <s v="TBU23870"/>
  </r>
  <r>
    <n v="6727559092"/>
    <s v="OPO"/>
    <s v="268H"/>
    <x v="1"/>
    <n v="980"/>
    <x v="0"/>
    <s v="OPO268H"/>
  </r>
  <r>
    <n v="1361555378"/>
    <s v="SZ"/>
    <s v="WB235"/>
    <x v="1"/>
    <n v="2325"/>
    <x v="34"/>
    <s v="SZWB235"/>
  </r>
  <r>
    <n v="5418968184"/>
    <s v="SZ"/>
    <s v="O58CY"/>
    <x v="1"/>
    <n v="1830"/>
    <x v="17"/>
    <s v="SZO58CY"/>
  </r>
  <r>
    <n v="1165493421"/>
    <s v="SZ"/>
    <s v="L72WG"/>
    <x v="0"/>
    <n v="3122"/>
    <x v="2"/>
    <s v="SZL72WG"/>
  </r>
  <r>
    <n v="1433397952"/>
    <s v="PN"/>
    <s v="16828"/>
    <x v="0"/>
    <n v="2660"/>
    <x v="25"/>
    <s v="PN16828"/>
  </r>
  <r>
    <n v="6727559092"/>
    <s v="STA"/>
    <s v="334F"/>
    <x v="0"/>
    <n v="2822"/>
    <x v="0"/>
    <s v="STA334F"/>
  </r>
  <r>
    <n v="5514533376"/>
    <s v="DJE"/>
    <s v="25890"/>
    <x v="0"/>
    <n v="2895"/>
    <x v="46"/>
    <s v="DJE25890"/>
  </r>
  <r>
    <n v="3866883575"/>
    <s v="LU"/>
    <s v="3601Y"/>
    <x v="0"/>
    <n v="2638"/>
    <x v="1"/>
    <s v="LU3601Y"/>
  </r>
  <r>
    <n v="1433397952"/>
    <s v="PN"/>
    <s v="3641B"/>
    <x v="0"/>
    <n v="2018"/>
    <x v="25"/>
    <s v="PN3641B"/>
  </r>
  <r>
    <n v="4779174699"/>
    <s v="DW"/>
    <s v="16848"/>
    <x v="0"/>
    <n v="1600"/>
    <x v="13"/>
    <s v="DW16848"/>
  </r>
  <r>
    <n v="4326751508"/>
    <s v="PL"/>
    <s v="67576"/>
    <x v="0"/>
    <n v="1800"/>
    <x v="22"/>
    <s v="PL67576"/>
  </r>
  <r>
    <n v="4761158900"/>
    <s v="BIA"/>
    <s v="72020"/>
    <x v="0"/>
    <n v="3144"/>
    <x v="32"/>
    <s v="BIA72020"/>
  </r>
  <r>
    <n v="2119268767"/>
    <s v="NEB"/>
    <s v="D604"/>
    <x v="0"/>
    <n v="1740"/>
    <x v="30"/>
    <s v="NEBD604"/>
  </r>
  <r>
    <n v="2581219876"/>
    <s v="NEB"/>
    <s v="Y726"/>
    <x v="0"/>
    <n v="2490"/>
    <x v="15"/>
    <s v="NEBY726"/>
  </r>
  <r>
    <n v="2281651150"/>
    <s v="NOL"/>
    <s v="Y648"/>
    <x v="1"/>
    <n v="2170"/>
    <x v="41"/>
    <s v="NOLY648"/>
  </r>
  <r>
    <n v="1599095267"/>
    <s v="SZ"/>
    <s v="PR133"/>
    <x v="0"/>
    <n v="2238"/>
    <x v="49"/>
    <s v="SZPR133"/>
  </r>
  <r>
    <n v="3783578981"/>
    <s v="PL"/>
    <s v="28516"/>
    <x v="1"/>
    <n v="2642"/>
    <x v="26"/>
    <s v="PL28516"/>
  </r>
  <r>
    <n v="4779174699"/>
    <s v="DW"/>
    <s v="16850"/>
    <x v="0"/>
    <n v="1575"/>
    <x v="13"/>
    <s v="DW16850"/>
  </r>
  <r>
    <n v="4580185570"/>
    <s v="SZ"/>
    <s v="JG549"/>
    <x v="0"/>
    <n v="1623"/>
    <x v="52"/>
    <s v="SZJG549"/>
  </r>
  <r>
    <n v="6727559092"/>
    <s v="STA"/>
    <s v="290G"/>
    <x v="1"/>
    <n v="2550"/>
    <x v="0"/>
    <s v="STA290G"/>
  </r>
  <r>
    <n v="6727559092"/>
    <s v="STA"/>
    <s v="312W"/>
    <x v="0"/>
    <n v="2384"/>
    <x v="0"/>
    <s v="STA312W"/>
  </r>
  <r>
    <n v="5418968184"/>
    <s v="SR"/>
    <s v="O66QH"/>
    <x v="1"/>
    <n v="2364"/>
    <x v="17"/>
    <s v="SRO66QH"/>
  </r>
  <r>
    <n v="5514533376"/>
    <s v="DJE"/>
    <s v="26496"/>
    <x v="0"/>
    <n v="2642"/>
    <x v="46"/>
    <s v="DJE26496"/>
  </r>
  <r>
    <n v="3579231044"/>
    <s v="LLE"/>
    <s v="R714"/>
    <x v="0"/>
    <n v="3002"/>
    <x v="48"/>
    <s v="LLER714"/>
  </r>
  <r>
    <n v="4458233905"/>
    <s v="DW"/>
    <s v="56456"/>
    <x v="0"/>
    <n v="3128"/>
    <x v="37"/>
    <s v="DW56456"/>
  </r>
  <r>
    <n v="1939065269"/>
    <s v="PO"/>
    <s v="16884"/>
    <x v="1"/>
    <n v="1980"/>
    <x v="20"/>
    <s v="PO16884"/>
  </r>
  <r>
    <n v="3345883725"/>
    <s v="LUB"/>
    <s v="I740"/>
    <x v="1"/>
    <n v="2784"/>
    <x v="57"/>
    <s v="LUBI740"/>
  </r>
  <r>
    <n v="3357631311"/>
    <s v="LZA"/>
    <s v="T642"/>
    <x v="0"/>
    <n v="2014"/>
    <x v="53"/>
    <s v="LZAT642"/>
  </r>
  <r>
    <n v="2869229213"/>
    <s v="SR"/>
    <s v="K34AW"/>
    <x v="1"/>
    <n v="1280"/>
    <x v="58"/>
    <s v="SRK34AW"/>
  </r>
  <r>
    <n v="1599095267"/>
    <s v="SR"/>
    <s v="PS130"/>
    <x v="1"/>
    <n v="2796"/>
    <x v="49"/>
    <s v="SRPS130"/>
  </r>
  <r>
    <n v="3678947206"/>
    <s v="ONY"/>
    <s v="1289"/>
    <x v="1"/>
    <n v="2475"/>
    <x v="55"/>
    <s v="ONY1289"/>
  </r>
  <r>
    <n v="2245871126"/>
    <s v="TBU"/>
    <s v="23668"/>
    <x v="1"/>
    <n v="1806"/>
    <x v="40"/>
    <s v="TBU23668"/>
  </r>
  <r>
    <n v="5115061689"/>
    <s v="SRS"/>
    <s v="20AF"/>
    <x v="1"/>
    <n v="2595"/>
    <x v="21"/>
    <s v="SRS20AF"/>
  </r>
  <r>
    <n v="1620242236"/>
    <s v="PN"/>
    <s v="4121F"/>
    <x v="0"/>
    <n v="2836"/>
    <x v="44"/>
    <s v="PN4121F"/>
  </r>
  <r>
    <n v="3318203338"/>
    <s v="SR"/>
    <s v="L45QM"/>
    <x v="1"/>
    <n v="2349"/>
    <x v="39"/>
    <s v="SRL45QM"/>
  </r>
  <r>
    <n v="3357631311"/>
    <s v="LZA"/>
    <s v="H640"/>
    <x v="1"/>
    <n v="2870"/>
    <x v="53"/>
    <s v="LZAH640"/>
  </r>
  <r>
    <n v="4580185570"/>
    <s v="SR"/>
    <s v="JH548"/>
    <x v="1"/>
    <n v="2616"/>
    <x v="52"/>
    <s v="SRJH548"/>
  </r>
  <r>
    <n v="6758177505"/>
    <s v="STA"/>
    <s v="534U"/>
    <x v="0"/>
    <n v="2523"/>
    <x v="6"/>
    <s v="STA534U"/>
  </r>
  <r>
    <n v="3568004264"/>
    <s v="LUB"/>
    <s v="G634"/>
    <x v="0"/>
    <n v="2060"/>
    <x v="16"/>
    <s v="LUBG634"/>
  </r>
  <r>
    <n v="3470453173"/>
    <s v="LC"/>
    <s v="7891Q"/>
    <x v="1"/>
    <n v="2151"/>
    <x v="24"/>
    <s v="LC7891Q"/>
  </r>
  <r>
    <n v="3866883575"/>
    <s v="LU"/>
    <s v="3591T"/>
    <x v="1"/>
    <n v="2818"/>
    <x v="1"/>
    <s v="LU3591T"/>
  </r>
  <r>
    <n v="1433397952"/>
    <s v="PN"/>
    <s v="3661T"/>
    <x v="1"/>
    <n v="1851"/>
    <x v="25"/>
    <s v="PN3661T"/>
  </r>
  <r>
    <n v="3470453173"/>
    <s v="LC"/>
    <s v="7899B"/>
    <x v="0"/>
    <n v="2062"/>
    <x v="24"/>
    <s v="LC7899B"/>
  </r>
  <r>
    <n v="6758177505"/>
    <s v="STA"/>
    <s v="457K"/>
    <x v="1"/>
    <n v="2258"/>
    <x v="6"/>
    <s v="STA457K"/>
  </r>
  <r>
    <n v="5266741491"/>
    <s v="SR"/>
    <s v="P46ZH"/>
    <x v="1"/>
    <n v="1774"/>
    <x v="42"/>
    <s v="SRP46ZH"/>
  </r>
  <r>
    <n v="2214740049"/>
    <s v="NBR"/>
    <s v="X708"/>
    <x v="1"/>
    <n v="2066"/>
    <x v="50"/>
    <s v="NBRX708"/>
  </r>
  <r>
    <n v="1433397952"/>
    <s v="PN"/>
    <s v="16826"/>
    <x v="1"/>
    <n v="1626"/>
    <x v="25"/>
    <s v="PN16826"/>
  </r>
  <r>
    <n v="4326751508"/>
    <s v="DJE"/>
    <s v="46467"/>
    <x v="1"/>
    <n v="1601"/>
    <x v="22"/>
    <s v="DJE46467"/>
  </r>
  <r>
    <n v="1433397952"/>
    <s v="PN"/>
    <s v="16824"/>
    <x v="1"/>
    <n v="2865"/>
    <x v="25"/>
    <s v="PN16824"/>
  </r>
  <r>
    <n v="2281651150"/>
    <s v="NOL"/>
    <s v="J646"/>
    <x v="0"/>
    <n v="2136"/>
    <x v="41"/>
    <s v="NOLJ646"/>
  </r>
  <r>
    <n v="5581610439"/>
    <s v="SPI"/>
    <s v="O750"/>
    <x v="1"/>
    <n v="2316"/>
    <x v="59"/>
    <s v="SPIO7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n v="6727559092"/>
    <s v="KTA"/>
    <s v="323W"/>
    <s v="L"/>
    <n v="1240"/>
    <x v="0"/>
    <x v="0"/>
  </r>
  <r>
    <n v="3866883575"/>
    <s v="LU"/>
    <s v="16794"/>
    <s v="L"/>
    <n v="3022"/>
    <x v="1"/>
    <x v="1"/>
  </r>
  <r>
    <n v="1165493421"/>
    <s v="SBE"/>
    <s v="LL545"/>
    <s v="L"/>
    <n v="1770"/>
    <x v="2"/>
    <x v="0"/>
  </r>
  <r>
    <n v="2138598159"/>
    <s v="NEL"/>
    <s v="L584"/>
    <s v="L"/>
    <n v="2272"/>
    <x v="3"/>
    <x v="0"/>
  </r>
  <r>
    <n v="1617995032"/>
    <s v="PTU"/>
    <s v="6R13"/>
    <s v="L"/>
    <n v="2253"/>
    <x v="4"/>
    <x v="0"/>
  </r>
  <r>
    <n v="2625657803"/>
    <s v="SBE"/>
    <s v="U48HH"/>
    <s v="W"/>
    <n v="2349"/>
    <x v="2"/>
    <x v="0"/>
  </r>
  <r>
    <n v="6758177505"/>
    <s v="KTA"/>
    <s v="468L"/>
    <s v="W"/>
    <n v="2154"/>
    <x v="0"/>
    <x v="0"/>
  </r>
  <r>
    <n v="4531538788"/>
    <s v="SBE"/>
    <s v="TE554"/>
    <s v="L"/>
    <n v="2385"/>
    <x v="2"/>
    <x v="0"/>
  </r>
  <r>
    <n v="2138598159"/>
    <s v="NEL"/>
    <s v="O586"/>
    <s v="W"/>
    <n v="2370"/>
    <x v="3"/>
    <x v="0"/>
  </r>
  <r>
    <n v="1818291355"/>
    <s v="SBE"/>
    <s v="Z67OX"/>
    <s v="L"/>
    <n v="1862"/>
    <x v="2"/>
    <x v="0"/>
  </r>
  <r>
    <n v="2599394621"/>
    <s v="SBE"/>
    <s v="CD551"/>
    <s v="W"/>
    <n v="2508"/>
    <x v="2"/>
    <x v="0"/>
  </r>
  <r>
    <n v="4653095092"/>
    <s v="ONY"/>
    <s v="1234"/>
    <s v="L"/>
    <n v="2502"/>
    <x v="5"/>
    <x v="0"/>
  </r>
  <r>
    <n v="5229945534"/>
    <s v="SBE"/>
    <s v="G38FY"/>
    <s v="W"/>
    <n v="2674"/>
    <x v="2"/>
    <x v="0"/>
  </r>
  <r>
    <n v="3743661247"/>
    <s v="SBE"/>
    <s v="Z99ZO"/>
    <s v="W"/>
    <n v="2176"/>
    <x v="2"/>
    <x v="0"/>
  </r>
  <r>
    <n v="4779174699"/>
    <s v="DW"/>
    <s v="16852"/>
    <s v="W"/>
    <n v="1875"/>
    <x v="6"/>
    <x v="1"/>
  </r>
  <r>
    <n v="4715154852"/>
    <s v="DW"/>
    <s v="23815"/>
    <s v="L"/>
    <n v="2520"/>
    <x v="6"/>
    <x v="1"/>
  </r>
  <r>
    <n v="6758177505"/>
    <s v="KTA"/>
    <s v="545S"/>
    <s v="L"/>
    <n v="2984"/>
    <x v="0"/>
    <x v="0"/>
  </r>
  <r>
    <n v="2581219876"/>
    <s v="NEB"/>
    <s v="92NR"/>
    <s v="W"/>
    <n v="2685"/>
    <x v="7"/>
    <x v="0"/>
  </r>
  <r>
    <n v="3568004264"/>
    <s v="LUB"/>
    <s v="Q624"/>
    <s v="L"/>
    <n v="2438"/>
    <x v="8"/>
    <x v="0"/>
  </r>
  <r>
    <n v="6727559092"/>
    <s v="KTA"/>
    <s v="257G"/>
    <s v="W"/>
    <n v="2435"/>
    <x v="0"/>
    <x v="0"/>
  </r>
  <r>
    <n v="5418968184"/>
    <s v="SBE"/>
    <s v="O60RV"/>
    <s v="L"/>
    <n v="1806"/>
    <x v="2"/>
    <x v="0"/>
  </r>
  <r>
    <n v="4956781088"/>
    <s v="DGR"/>
    <s v="F718"/>
    <s v="W"/>
    <n v="2156"/>
    <x v="9"/>
    <x v="0"/>
  </r>
  <r>
    <n v="5341884086"/>
    <s v="SBE"/>
    <s v="SA138"/>
    <s v="W"/>
    <n v="1908"/>
    <x v="2"/>
    <x v="0"/>
  </r>
  <r>
    <n v="1939065269"/>
    <s v="PO"/>
    <s v="16886"/>
    <s v="W"/>
    <n v="3156"/>
    <x v="10"/>
    <x v="1"/>
  </r>
  <r>
    <n v="4715154852"/>
    <s v="DW"/>
    <s v="557F"/>
    <s v="L"/>
    <n v="2276"/>
    <x v="6"/>
    <x v="1"/>
  </r>
  <r>
    <n v="5115061689"/>
    <s v="SRS"/>
    <s v="D662"/>
    <s v="W"/>
    <n v="1627"/>
    <x v="11"/>
    <x v="1"/>
  </r>
  <r>
    <n v="4326751508"/>
    <s v="SB"/>
    <s v="55355"/>
    <s v="W"/>
    <n v="2060"/>
    <x v="12"/>
    <x v="1"/>
  </r>
  <r>
    <n v="1581329071"/>
    <s v="SBE"/>
    <s v="E93DN"/>
    <s v="W"/>
    <n v="2236"/>
    <x v="2"/>
    <x v="0"/>
  </r>
  <r>
    <n v="4326751508"/>
    <s v="SB"/>
    <s v="56466"/>
    <s v="L"/>
    <n v="2000"/>
    <x v="12"/>
    <x v="1"/>
  </r>
  <r>
    <n v="3470453173"/>
    <s v="LC"/>
    <s v="7895G"/>
    <s v="L"/>
    <n v="2040"/>
    <x v="13"/>
    <x v="1"/>
  </r>
  <r>
    <n v="1433397952"/>
    <s v="PN"/>
    <s v="16832"/>
    <s v="W"/>
    <n v="2734"/>
    <x v="14"/>
    <x v="1"/>
  </r>
  <r>
    <n v="3783578981"/>
    <s v="EL"/>
    <s v="28920"/>
    <s v="L"/>
    <n v="1935"/>
    <x v="15"/>
    <x v="1"/>
  </r>
  <r>
    <n v="2581219876"/>
    <s v="NEB"/>
    <s v="90HD"/>
    <s v="W"/>
    <n v="2818"/>
    <x v="7"/>
    <x v="0"/>
  </r>
  <r>
    <n v="4796841112"/>
    <s v="DOA"/>
    <s v="R672"/>
    <s v="L"/>
    <n v="2668"/>
    <x v="16"/>
    <x v="0"/>
  </r>
  <r>
    <n v="4715154852"/>
    <s v="DW"/>
    <s v="23411"/>
    <s v="W"/>
    <n v="2700"/>
    <x v="6"/>
    <x v="1"/>
  </r>
  <r>
    <n v="4241680809"/>
    <s v="SBE"/>
    <s v="RF346"/>
    <s v="W"/>
    <n v="2496"/>
    <x v="2"/>
    <x v="0"/>
  </r>
  <r>
    <n v="1617995032"/>
    <s v="PTU"/>
    <s v="54PX"/>
    <s v="W"/>
    <n v="2148"/>
    <x v="4"/>
    <x v="0"/>
  </r>
  <r>
    <n v="1433397952"/>
    <s v="PN"/>
    <s v="16838"/>
    <s v="L"/>
    <n v="2160"/>
    <x v="14"/>
    <x v="1"/>
  </r>
  <r>
    <n v="4326751508"/>
    <s v="EL"/>
    <s v="69798"/>
    <s v="W"/>
    <n v="2056"/>
    <x v="15"/>
    <x v="1"/>
  </r>
  <r>
    <n v="1246489959"/>
    <s v="SBE"/>
    <s v="M52XG"/>
    <s v="W"/>
    <n v="1812"/>
    <x v="2"/>
    <x v="0"/>
  </r>
  <r>
    <n v="4241680809"/>
    <s v="SBE"/>
    <s v="RJ349"/>
    <s v="W"/>
    <n v="2664"/>
    <x v="2"/>
    <x v="0"/>
  </r>
  <r>
    <n v="3470453173"/>
    <s v="LC"/>
    <s v="34568"/>
    <s v="W"/>
    <n v="2872"/>
    <x v="13"/>
    <x v="1"/>
  </r>
  <r>
    <n v="3568004264"/>
    <s v="LUB"/>
    <s v="E630"/>
    <s v="W"/>
    <n v="1928"/>
    <x v="8"/>
    <x v="0"/>
  </r>
  <r>
    <n v="1617995032"/>
    <s v="PTU"/>
    <s v="7D14"/>
    <s v="W"/>
    <n v="2194"/>
    <x v="4"/>
    <x v="0"/>
  </r>
  <r>
    <n v="2119268767"/>
    <s v="NEB"/>
    <s v="55CS"/>
    <s v="W"/>
    <n v="2114"/>
    <x v="7"/>
    <x v="0"/>
  </r>
  <r>
    <n v="5341884086"/>
    <s v="SK"/>
    <s v="S12EM"/>
    <s v="W"/>
    <n v="2364"/>
    <x v="17"/>
    <x v="1"/>
  </r>
  <r>
    <n v="4779174699"/>
    <s v="DW"/>
    <s v="3841A"/>
    <s v="W"/>
    <n v="2462"/>
    <x v="6"/>
    <x v="1"/>
  </r>
  <r>
    <n v="1939065269"/>
    <s v="PO"/>
    <s v="16880"/>
    <s v="W"/>
    <n v="2696"/>
    <x v="10"/>
    <x v="1"/>
  </r>
  <r>
    <n v="1939065269"/>
    <s v="PO"/>
    <s v="3921Q"/>
    <s v="L"/>
    <n v="2073"/>
    <x v="10"/>
    <x v="1"/>
  </r>
  <r>
    <n v="5459753232"/>
    <s v="BSI"/>
    <s v="24678"/>
    <s v="W"/>
    <n v="1629"/>
    <x v="18"/>
    <x v="0"/>
  </r>
  <r>
    <n v="4761158900"/>
    <s v="OKL"/>
    <s v="83130"/>
    <s v="W"/>
    <n v="2139"/>
    <x v="19"/>
    <x v="0"/>
  </r>
  <r>
    <n v="1127056356"/>
    <s v="PKS"/>
    <s v="C568"/>
    <s v="W"/>
    <n v="2944"/>
    <x v="20"/>
    <x v="0"/>
  </r>
  <r>
    <n v="1361555378"/>
    <s v="SK"/>
    <s v="WM236"/>
    <s v="L"/>
    <n v="2250"/>
    <x v="17"/>
    <x v="1"/>
  </r>
  <r>
    <n v="1278408463"/>
    <s v="PN"/>
    <s v="16782"/>
    <s v="W"/>
    <n v="2190"/>
    <x v="14"/>
    <x v="1"/>
  </r>
  <r>
    <n v="3114182744"/>
    <s v="SK"/>
    <s v="S98QG"/>
    <s v="W"/>
    <n v="2074"/>
    <x v="17"/>
    <x v="1"/>
  </r>
  <r>
    <n v="4458233905"/>
    <s v="DW"/>
    <s v="3344T"/>
    <s v="L"/>
    <n v="1200"/>
    <x v="6"/>
    <x v="1"/>
  </r>
  <r>
    <n v="1617995032"/>
    <s v="PTU"/>
    <s v="L690"/>
    <s v="L"/>
    <n v="1965"/>
    <x v="4"/>
    <x v="0"/>
  </r>
  <r>
    <n v="4761158900"/>
    <s v="OKL"/>
    <s v="74242"/>
    <s v="L"/>
    <n v="1894"/>
    <x v="19"/>
    <x v="0"/>
  </r>
  <r>
    <n v="4241680809"/>
    <s v="SK"/>
    <s v="RG347"/>
    <s v="W"/>
    <n v="1946"/>
    <x v="17"/>
    <x v="1"/>
  </r>
  <r>
    <n v="1524870307"/>
    <s v="SK"/>
    <s v="N89WP"/>
    <s v="L"/>
    <n v="1810"/>
    <x v="17"/>
    <x v="1"/>
  </r>
  <r>
    <n v="1818291355"/>
    <s v="SK"/>
    <s v="Z78PZ"/>
    <s v="L"/>
    <n v="2448"/>
    <x v="17"/>
    <x v="1"/>
  </r>
  <r>
    <n v="4653095092"/>
    <s v="ONY"/>
    <s v="1245"/>
    <s v="W"/>
    <n v="1995"/>
    <x v="5"/>
    <x v="0"/>
  </r>
  <r>
    <n v="6758177505"/>
    <s v="KTA"/>
    <s v="512R"/>
    <s v="L"/>
    <n v="2216"/>
    <x v="0"/>
    <x v="0"/>
  </r>
  <r>
    <n v="1278408463"/>
    <s v="PN"/>
    <s v="16784"/>
    <s v="L"/>
    <n v="2226"/>
    <x v="14"/>
    <x v="1"/>
  </r>
  <r>
    <n v="3318203338"/>
    <s v="SK"/>
    <s v="LG353"/>
    <s v="L"/>
    <n v="2640"/>
    <x v="17"/>
    <x v="1"/>
  </r>
  <r>
    <n v="1617995032"/>
    <s v="PTU"/>
    <s v="52YS"/>
    <s v="L"/>
    <n v="2358"/>
    <x v="4"/>
    <x v="0"/>
  </r>
  <r>
    <n v="4458233905"/>
    <s v="DW"/>
    <s v="RM754"/>
    <s v="W"/>
    <n v="2175"/>
    <x v="6"/>
    <x v="1"/>
  </r>
  <r>
    <n v="1361555378"/>
    <s v="SK"/>
    <s v="WD234"/>
    <s v="L"/>
    <n v="2972"/>
    <x v="17"/>
    <x v="1"/>
  </r>
  <r>
    <n v="6758177505"/>
    <s v="RTA"/>
    <s v="490N"/>
    <s v="L"/>
    <n v="1779"/>
    <x v="21"/>
    <x v="0"/>
  </r>
  <r>
    <n v="3318203338"/>
    <s v="SK"/>
    <s v="L67AK"/>
    <s v="W"/>
    <n v="2165"/>
    <x v="17"/>
    <x v="1"/>
  </r>
  <r>
    <n v="5459753232"/>
    <s v="BSI"/>
    <s v="25082"/>
    <s v="L"/>
    <n v="2758"/>
    <x v="18"/>
    <x v="0"/>
  </r>
  <r>
    <n v="4326751508"/>
    <s v="SB"/>
    <s v="49800"/>
    <s v="W"/>
    <n v="2198"/>
    <x v="12"/>
    <x v="1"/>
  </r>
  <r>
    <n v="4326751508"/>
    <s v="SB"/>
    <s v="57577"/>
    <s v="W"/>
    <n v="1902"/>
    <x v="12"/>
    <x v="1"/>
  </r>
  <r>
    <n v="4458233905"/>
    <s v="SK"/>
    <s v="RM745"/>
    <s v="W"/>
    <n v="2318"/>
    <x v="17"/>
    <x v="1"/>
  </r>
  <r>
    <n v="3470453173"/>
    <s v="LC"/>
    <s v="7893E"/>
    <s v="L"/>
    <n v="2415"/>
    <x v="13"/>
    <x v="1"/>
  </r>
  <r>
    <n v="1524870307"/>
    <s v="SK"/>
    <s v="N90SL"/>
    <s v="W"/>
    <n v="1893"/>
    <x v="17"/>
    <x v="1"/>
  </r>
  <r>
    <n v="2245871126"/>
    <s v="TBU"/>
    <s v="24072"/>
    <s v="W"/>
    <n v="1950"/>
    <x v="22"/>
    <x v="0"/>
  </r>
  <r>
    <n v="2281651150"/>
    <s v="NOL"/>
    <s v="14UV"/>
    <s v="W"/>
    <n v="2575"/>
    <x v="23"/>
    <x v="0"/>
  </r>
  <r>
    <n v="5266741491"/>
    <s v="PO"/>
    <s v="P48WY"/>
    <s v="L"/>
    <n v="2565"/>
    <x v="10"/>
    <x v="1"/>
  </r>
  <r>
    <n v="5341884086"/>
    <s v="PO"/>
    <s v="S23TN"/>
    <s v="L"/>
    <n v="1970"/>
    <x v="10"/>
    <x v="1"/>
  </r>
  <r>
    <n v="5459753232"/>
    <s v="BSI"/>
    <s v="25284"/>
    <s v="W"/>
    <n v="1950"/>
    <x v="18"/>
    <x v="0"/>
  </r>
  <r>
    <n v="1617995032"/>
    <s v="PTU"/>
    <s v="56KC"/>
    <s v="L"/>
    <n v="2448"/>
    <x v="4"/>
    <x v="0"/>
  </r>
  <r>
    <n v="5185759244"/>
    <s v="PO"/>
    <s v="Y32DP"/>
    <s v="W"/>
    <n v="2688"/>
    <x v="10"/>
    <x v="1"/>
  </r>
  <r>
    <n v="3568004264"/>
    <s v="LUB"/>
    <s v="C632"/>
    <s v="L"/>
    <n v="2185"/>
    <x v="8"/>
    <x v="0"/>
  </r>
  <r>
    <n v="1620242236"/>
    <s v="PN"/>
    <s v="4111S"/>
    <s v="W"/>
    <n v="3192"/>
    <x v="14"/>
    <x v="1"/>
  </r>
  <r>
    <n v="3470453173"/>
    <s v="LC"/>
    <s v="34570"/>
    <s v="W"/>
    <n v="2464"/>
    <x v="13"/>
    <x v="1"/>
  </r>
  <r>
    <n v="6727559092"/>
    <s v="RTA"/>
    <s v="301J"/>
    <s v="W"/>
    <n v="2034"/>
    <x v="21"/>
    <x v="0"/>
  </r>
  <r>
    <n v="1127056356"/>
    <s v="PKS"/>
    <s v="Q564"/>
    <s v="L"/>
    <n v="2436"/>
    <x v="20"/>
    <x v="0"/>
  </r>
  <r>
    <n v="6727559092"/>
    <s v="RTA"/>
    <s v="279H"/>
    <s v="W"/>
    <n v="2114"/>
    <x v="21"/>
    <x v="0"/>
  </r>
  <r>
    <n v="1939065269"/>
    <s v="PO"/>
    <s v="3941D"/>
    <s v="L"/>
    <n v="2390"/>
    <x v="10"/>
    <x v="1"/>
  </r>
  <r>
    <n v="1820566794"/>
    <s v="PP"/>
    <s v="27304"/>
    <s v="L"/>
    <n v="1932"/>
    <x v="24"/>
    <x v="0"/>
  </r>
  <r>
    <n v="4241680809"/>
    <s v="PO"/>
    <s v="RD345"/>
    <s v="L"/>
    <n v="2720"/>
    <x v="10"/>
    <x v="1"/>
  </r>
  <r>
    <n v="4458233905"/>
    <s v="DW"/>
    <s v="4356G"/>
    <s v="L"/>
    <n v="2478"/>
    <x v="6"/>
    <x v="1"/>
  </r>
  <r>
    <n v="1433397952"/>
    <s v="PN"/>
    <s v="16836"/>
    <s v="W"/>
    <n v="2434"/>
    <x v="14"/>
    <x v="1"/>
  </r>
  <r>
    <n v="4779174699"/>
    <s v="DW"/>
    <s v="3851Q"/>
    <s v="L"/>
    <n v="2992"/>
    <x v="6"/>
    <x v="1"/>
  </r>
  <r>
    <n v="5459753232"/>
    <s v="BSI"/>
    <s v="24880"/>
    <s v="W"/>
    <n v="1860"/>
    <x v="18"/>
    <x v="0"/>
  </r>
  <r>
    <n v="3318203338"/>
    <s v="PO"/>
    <s v="LF354"/>
    <s v="L"/>
    <n v="2427"/>
    <x v="10"/>
    <x v="1"/>
  </r>
  <r>
    <n v="5514533376"/>
    <s v="SB"/>
    <s v="26294"/>
    <s v="W"/>
    <n v="2926"/>
    <x v="12"/>
    <x v="1"/>
  </r>
  <r>
    <n v="5418968184"/>
    <s v="PO"/>
    <s v="O68AY"/>
    <s v="W"/>
    <n v="1902"/>
    <x v="10"/>
    <x v="1"/>
  </r>
  <r>
    <n v="4956781088"/>
    <s v="DGR"/>
    <s v="V720"/>
    <s v="L"/>
    <n v="1929"/>
    <x v="9"/>
    <x v="0"/>
  </r>
  <r>
    <n v="4241680809"/>
    <s v="PO"/>
    <s v="RL351"/>
    <s v="L"/>
    <n v="3056"/>
    <x v="10"/>
    <x v="1"/>
  </r>
  <r>
    <n v="2599394621"/>
    <s v="PO"/>
    <s v="CS552"/>
    <s v="W"/>
    <n v="2818"/>
    <x v="10"/>
    <x v="1"/>
  </r>
  <r>
    <n v="5115061689"/>
    <s v="SL"/>
    <s v="16892"/>
    <s v="L"/>
    <n v="3144"/>
    <x v="11"/>
    <x v="1"/>
  </r>
  <r>
    <n v="3568004264"/>
    <s v="LUB"/>
    <s v="65ED"/>
    <s v="W"/>
    <n v="3060"/>
    <x v="8"/>
    <x v="0"/>
  </r>
  <r>
    <n v="3470453173"/>
    <s v="LC"/>
    <s v="7897N"/>
    <s v="L"/>
    <n v="1866"/>
    <x v="13"/>
    <x v="1"/>
  </r>
  <r>
    <n v="2119268767"/>
    <s v="NEB"/>
    <s v="T606"/>
    <s v="W"/>
    <n v="2928"/>
    <x v="7"/>
    <x v="0"/>
  </r>
  <r>
    <n v="1246489959"/>
    <s v="PO"/>
    <s v="M54EB"/>
    <s v="W"/>
    <n v="2590"/>
    <x v="10"/>
    <x v="1"/>
  </r>
  <r>
    <n v="4779174699"/>
    <s v="DW"/>
    <s v="3871D"/>
    <s v="L"/>
    <n v="2445"/>
    <x v="6"/>
    <x v="1"/>
  </r>
  <r>
    <n v="4715154852"/>
    <s v="DW"/>
    <s v="579W"/>
    <s v="L"/>
    <n v="2780"/>
    <x v="6"/>
    <x v="1"/>
  </r>
  <r>
    <n v="3568004264"/>
    <s v="LUB"/>
    <s v="61XF"/>
    <s v="L"/>
    <n v="2720"/>
    <x v="8"/>
    <x v="0"/>
  </r>
  <r>
    <n v="5514533376"/>
    <s v="SB"/>
    <s v="26092"/>
    <s v="W"/>
    <n v="2136"/>
    <x v="12"/>
    <x v="1"/>
  </r>
  <r>
    <n v="5528435390"/>
    <s v="PO"/>
    <s v="A44GU"/>
    <s v="L"/>
    <n v="2328"/>
    <x v="10"/>
    <x v="1"/>
  </r>
  <r>
    <n v="4779174699"/>
    <s v="DW"/>
    <s v="16842"/>
    <s v="L"/>
    <n v="2920"/>
    <x v="6"/>
    <x v="1"/>
  </r>
  <r>
    <n v="4326751508"/>
    <s v="EL"/>
    <s v="64243"/>
    <s v="W"/>
    <n v="3324"/>
    <x v="15"/>
    <x v="1"/>
  </r>
  <r>
    <n v="1620242236"/>
    <s v="PN"/>
    <s v="16906"/>
    <s v="L"/>
    <n v="2915"/>
    <x v="14"/>
    <x v="1"/>
  </r>
  <r>
    <n v="6758177505"/>
    <s v="RTA"/>
    <s v="556V"/>
    <s v="W"/>
    <n v="1930"/>
    <x v="21"/>
    <x v="0"/>
  </r>
  <r>
    <n v="6727559092"/>
    <s v="RTA"/>
    <s v="246F"/>
    <s v="W"/>
    <n v="2361"/>
    <x v="21"/>
    <x v="0"/>
  </r>
  <r>
    <n v="4241680809"/>
    <s v="PO"/>
    <s v="R79LM"/>
    <s v="W"/>
    <n v="1863"/>
    <x v="10"/>
    <x v="1"/>
  </r>
  <r>
    <n v="4326751508"/>
    <s v="SB"/>
    <s v="48689"/>
    <s v="L"/>
    <n v="2420"/>
    <x v="12"/>
    <x v="1"/>
  </r>
  <r>
    <n v="3470453173"/>
    <s v="LC"/>
    <s v="34572"/>
    <s v="W"/>
    <n v="2625"/>
    <x v="13"/>
    <x v="1"/>
  </r>
  <r>
    <n v="3579231044"/>
    <s v="LLE"/>
    <s v="G712"/>
    <s v="W"/>
    <n v="2314"/>
    <x v="25"/>
    <x v="0"/>
  </r>
  <r>
    <n v="2119268767"/>
    <s v="NEB"/>
    <s v="57SX"/>
    <s v="W"/>
    <n v="2340"/>
    <x v="7"/>
    <x v="0"/>
  </r>
  <r>
    <n v="1620242236"/>
    <s v="PN"/>
    <s v="4101U"/>
    <s v="L"/>
    <n v="2181"/>
    <x v="14"/>
    <x v="1"/>
  </r>
  <r>
    <n v="4326751508"/>
    <s v="SB"/>
    <s v="45356"/>
    <s v="L"/>
    <n v="2800"/>
    <x v="12"/>
    <x v="1"/>
  </r>
  <r>
    <n v="1278408463"/>
    <s v="PKO"/>
    <s v="27LS"/>
    <s v="W"/>
    <n v="2589"/>
    <x v="14"/>
    <x v="1"/>
  </r>
  <r>
    <n v="1939065269"/>
    <s v="PO"/>
    <s v="3931S"/>
    <s v="L"/>
    <n v="2360"/>
    <x v="10"/>
    <x v="1"/>
  </r>
  <r>
    <n v="3783578981"/>
    <s v="EL"/>
    <s v="28314"/>
    <s v="W"/>
    <n v="2185"/>
    <x v="15"/>
    <x v="1"/>
  </r>
  <r>
    <n v="4241680809"/>
    <s v="PO"/>
    <s v="RK350"/>
    <s v="L"/>
    <n v="2319"/>
    <x v="10"/>
    <x v="1"/>
  </r>
  <r>
    <n v="4761158900"/>
    <s v="OKL"/>
    <s v="86463"/>
    <s v="L"/>
    <n v="2208"/>
    <x v="19"/>
    <x v="0"/>
  </r>
  <r>
    <n v="3866883575"/>
    <s v="LU"/>
    <s v="3581R"/>
    <s v="W"/>
    <n v="1520"/>
    <x v="1"/>
    <x v="1"/>
  </r>
  <r>
    <n v="1127056356"/>
    <s v="PKS"/>
    <s v="S566"/>
    <s v="L"/>
    <n v="2050"/>
    <x v="20"/>
    <x v="0"/>
  </r>
  <r>
    <n v="1620242236"/>
    <s v="PN"/>
    <s v="16904"/>
    <s v="W"/>
    <n v="2336"/>
    <x v="14"/>
    <x v="1"/>
  </r>
  <r>
    <n v="6727559092"/>
    <s v="RTA"/>
    <s v="356J"/>
    <s v="W"/>
    <n v="2034"/>
    <x v="21"/>
    <x v="0"/>
  </r>
  <r>
    <n v="3318203338"/>
    <s v="PO"/>
    <s v="LD355"/>
    <s v="W"/>
    <n v="1900"/>
    <x v="10"/>
    <x v="1"/>
  </r>
  <r>
    <n v="5185759244"/>
    <s v="PO"/>
    <s v="Y30EJ"/>
    <s v="L"/>
    <n v="2277"/>
    <x v="10"/>
    <x v="1"/>
  </r>
  <r>
    <n v="3866883575"/>
    <s v="LU"/>
    <s v="3571C"/>
    <s v="W"/>
    <n v="2994"/>
    <x v="1"/>
    <x v="1"/>
  </r>
  <r>
    <n v="6727559092"/>
    <s v="RTA"/>
    <s v="367J"/>
    <s v="W"/>
    <n v="2315"/>
    <x v="21"/>
    <x v="0"/>
  </r>
  <r>
    <n v="1165493421"/>
    <s v="PO"/>
    <s v="L74SB"/>
    <s v="W"/>
    <n v="2560"/>
    <x v="10"/>
    <x v="1"/>
  </r>
  <r>
    <n v="4796841112"/>
    <s v="DOA"/>
    <s v="A682"/>
    <s v="W"/>
    <n v="2391"/>
    <x v="16"/>
    <x v="0"/>
  </r>
  <r>
    <n v="5115061689"/>
    <s v="SL"/>
    <s v="16896"/>
    <s v="W"/>
    <n v="2085"/>
    <x v="11"/>
    <x v="1"/>
  </r>
  <r>
    <n v="1599095267"/>
    <s v="PO"/>
    <s v="PK128"/>
    <s v="W"/>
    <n v="2105"/>
    <x v="10"/>
    <x v="1"/>
  </r>
  <r>
    <n v="3866883575"/>
    <s v="LU"/>
    <s v="16788"/>
    <s v="W"/>
    <n v="1928"/>
    <x v="1"/>
    <x v="1"/>
  </r>
  <r>
    <n v="4779174699"/>
    <s v="DW"/>
    <s v="3901W"/>
    <s v="L"/>
    <n v="1852"/>
    <x v="6"/>
    <x v="1"/>
  </r>
  <r>
    <n v="3866883575"/>
    <s v="LU"/>
    <s v="16792"/>
    <s v="W"/>
    <n v="2784"/>
    <x v="1"/>
    <x v="1"/>
  </r>
  <r>
    <n v="4779174699"/>
    <s v="DW"/>
    <s v="3891T"/>
    <s v="W"/>
    <n v="2348"/>
    <x v="6"/>
    <x v="1"/>
  </r>
  <r>
    <n v="3318203338"/>
    <s v="SJ"/>
    <s v="LR356"/>
    <s v="W"/>
    <n v="2305"/>
    <x v="26"/>
    <x v="1"/>
  </r>
  <r>
    <n v="1433397952"/>
    <s v="PN"/>
    <s v="16830"/>
    <s v="L"/>
    <n v="2282"/>
    <x v="14"/>
    <x v="1"/>
  </r>
  <r>
    <n v="4326751508"/>
    <s v="EL"/>
    <s v="59799"/>
    <s v="L"/>
    <n v="2408"/>
    <x v="15"/>
    <x v="1"/>
  </r>
  <r>
    <n v="3470453173"/>
    <s v="LC"/>
    <s v="34566"/>
    <s v="W"/>
    <n v="1835"/>
    <x v="13"/>
    <x v="1"/>
  </r>
  <r>
    <n v="3783578981"/>
    <s v="EL"/>
    <s v="28112"/>
    <s v="L"/>
    <n v="1869"/>
    <x v="15"/>
    <x v="1"/>
  </r>
  <r>
    <n v="3568004264"/>
    <s v="LUB"/>
    <s v="F628"/>
    <s v="W"/>
    <n v="1804"/>
    <x v="8"/>
    <x v="0"/>
  </r>
  <r>
    <n v="6758177505"/>
    <s v="RTA"/>
    <s v="501V"/>
    <s v="L"/>
    <n v="2990"/>
    <x v="21"/>
    <x v="0"/>
  </r>
  <r>
    <n v="5115061689"/>
    <s v="SL"/>
    <s v="16894"/>
    <s v="L"/>
    <n v="2840"/>
    <x v="11"/>
    <x v="1"/>
  </r>
  <r>
    <n v="5418968184"/>
    <s v="SJ"/>
    <s v="O62FG"/>
    <s v="W"/>
    <n v="1929"/>
    <x v="26"/>
    <x v="1"/>
  </r>
  <r>
    <n v="2581219876"/>
    <s v="NEB"/>
    <s v="H724"/>
    <s v="L"/>
    <n v="2506"/>
    <x v="7"/>
    <x v="0"/>
  </r>
  <r>
    <n v="1127056356"/>
    <s v="PKS"/>
    <s v="W570"/>
    <s v="W"/>
    <n v="2924"/>
    <x v="20"/>
    <x v="0"/>
  </r>
  <r>
    <n v="5528435390"/>
    <s v="SJ"/>
    <s v="A38DW"/>
    <s v="L"/>
    <n v="2283"/>
    <x v="26"/>
    <x v="1"/>
  </r>
  <r>
    <n v="4241680809"/>
    <s v="SJ"/>
    <s v="R78KN"/>
    <s v="L"/>
    <n v="2350"/>
    <x v="26"/>
    <x v="1"/>
  </r>
  <r>
    <n v="2245871126"/>
    <s v="TBU"/>
    <s v="24274"/>
    <s v="L"/>
    <n v="2340"/>
    <x v="22"/>
    <x v="0"/>
  </r>
  <r>
    <n v="1620242236"/>
    <s v="PN"/>
    <s v="16900"/>
    <s v="L"/>
    <n v="2368"/>
    <x v="14"/>
    <x v="1"/>
  </r>
  <r>
    <n v="4796841112"/>
    <s v="DOA"/>
    <s v="D684"/>
    <s v="L"/>
    <n v="3336"/>
    <x v="16"/>
    <x v="0"/>
  </r>
  <r>
    <n v="3783578981"/>
    <s v="EL"/>
    <s v="27708"/>
    <s v="L"/>
    <n v="2510"/>
    <x v="15"/>
    <x v="1"/>
  </r>
  <r>
    <n v="5115061689"/>
    <s v="SRS"/>
    <s v="L668"/>
    <s v="L"/>
    <n v="2358"/>
    <x v="11"/>
    <x v="1"/>
  </r>
  <r>
    <n v="6758177505"/>
    <s v="OPO"/>
    <s v="479M"/>
    <s v="L"/>
    <n v="3104"/>
    <x v="27"/>
    <x v="0"/>
  </r>
  <r>
    <n v="2138598159"/>
    <s v="NEL"/>
    <s v="P588"/>
    <s v="L"/>
    <n v="2391"/>
    <x v="3"/>
    <x v="0"/>
  </r>
  <r>
    <n v="1524870307"/>
    <s v="SJ"/>
    <s v="N91XU"/>
    <s v="L"/>
    <n v="2790"/>
    <x v="26"/>
    <x v="1"/>
  </r>
  <r>
    <n v="4796841112"/>
    <s v="DOA"/>
    <s v="L678"/>
    <s v="L"/>
    <n v="1796"/>
    <x v="16"/>
    <x v="0"/>
  </r>
  <r>
    <n v="3470453173"/>
    <s v="LC"/>
    <s v="34574"/>
    <s v="L"/>
    <n v="1790"/>
    <x v="13"/>
    <x v="1"/>
  </r>
  <r>
    <n v="4761158900"/>
    <s v="OKL"/>
    <s v="87574"/>
    <s v="W"/>
    <n v="2460"/>
    <x v="19"/>
    <x v="0"/>
  </r>
  <r>
    <n v="3866883575"/>
    <s v="LU"/>
    <s v="3561B"/>
    <s v="L"/>
    <n v="3300"/>
    <x v="1"/>
    <x v="1"/>
  </r>
  <r>
    <n v="4326751508"/>
    <s v="EL"/>
    <s v="60910"/>
    <s v="L"/>
    <n v="2365"/>
    <x v="15"/>
    <x v="1"/>
  </r>
  <r>
    <n v="1278408463"/>
    <s v="PKO"/>
    <s v="N574"/>
    <s v="W"/>
    <n v="3270"/>
    <x v="14"/>
    <x v="1"/>
  </r>
  <r>
    <n v="4326751508"/>
    <s v="EL"/>
    <s v="65354"/>
    <s v="L"/>
    <n v="1835"/>
    <x v="15"/>
    <x v="1"/>
  </r>
  <r>
    <n v="1581329071"/>
    <s v="SJ"/>
    <s v="E95RH"/>
    <s v="W"/>
    <n v="2320"/>
    <x v="26"/>
    <x v="1"/>
  </r>
  <r>
    <n v="1620242236"/>
    <s v="PN"/>
    <s v="16902"/>
    <s v="L"/>
    <n v="2067"/>
    <x v="14"/>
    <x v="1"/>
  </r>
  <r>
    <n v="2214740049"/>
    <s v="NBR"/>
    <s v="S706"/>
    <s v="L"/>
    <n v="2366"/>
    <x v="28"/>
    <x v="0"/>
  </r>
  <r>
    <n v="1433397952"/>
    <s v="PN"/>
    <s v="3631H"/>
    <s v="L"/>
    <n v="1990"/>
    <x v="14"/>
    <x v="1"/>
  </r>
  <r>
    <n v="2581219876"/>
    <s v="NEB"/>
    <s v="94MD"/>
    <s v="W"/>
    <n v="2120"/>
    <x v="7"/>
    <x v="0"/>
  </r>
  <r>
    <n v="3470453173"/>
    <s v="LC"/>
    <s v="34576"/>
    <s v="W"/>
    <n v="1620"/>
    <x v="13"/>
    <x v="1"/>
  </r>
  <r>
    <n v="4761158900"/>
    <s v="OKL"/>
    <s v="76464"/>
    <s v="L"/>
    <n v="2080"/>
    <x v="19"/>
    <x v="0"/>
  </r>
  <r>
    <n v="1820566794"/>
    <s v="PP"/>
    <s v="27102"/>
    <s v="W"/>
    <n v="2658"/>
    <x v="24"/>
    <x v="0"/>
  </r>
  <r>
    <n v="4761158900"/>
    <s v="OKL"/>
    <s v="80908"/>
    <s v="W"/>
    <n v="2582"/>
    <x v="19"/>
    <x v="0"/>
  </r>
  <r>
    <n v="1278408463"/>
    <s v="PKO"/>
    <s v="25JE"/>
    <s v="W"/>
    <n v="2852"/>
    <x v="14"/>
    <x v="1"/>
  </r>
  <r>
    <n v="5229945534"/>
    <s v="SJ"/>
    <s v="G40VV"/>
    <s v="L"/>
    <n v="1968"/>
    <x v="26"/>
    <x v="1"/>
  </r>
  <r>
    <n v="3783578981"/>
    <s v="EL"/>
    <s v="28718"/>
    <s v="L"/>
    <n v="3160"/>
    <x v="15"/>
    <x v="1"/>
  </r>
  <r>
    <n v="4458233905"/>
    <s v="DW"/>
    <s v="45333"/>
    <s v="W"/>
    <n v="2022"/>
    <x v="6"/>
    <x v="1"/>
  </r>
  <r>
    <n v="1871447797"/>
    <s v="SJ"/>
    <s v="O54JT"/>
    <s v="L"/>
    <n v="2350"/>
    <x v="26"/>
    <x v="1"/>
  </r>
  <r>
    <n v="4761158900"/>
    <s v="OKL"/>
    <s v="82019"/>
    <s v="W"/>
    <n v="2468"/>
    <x v="19"/>
    <x v="0"/>
  </r>
  <r>
    <n v="2581219876"/>
    <s v="NEB"/>
    <s v="6C31"/>
    <s v="L"/>
    <n v="2610"/>
    <x v="7"/>
    <x v="0"/>
  </r>
  <r>
    <n v="4580185570"/>
    <s v="SJ"/>
    <s v="JJ547"/>
    <s v="W"/>
    <n v="3204"/>
    <x v="26"/>
    <x v="1"/>
  </r>
  <r>
    <n v="1599095267"/>
    <s v="SJ"/>
    <s v="PP132"/>
    <s v="W"/>
    <n v="2516"/>
    <x v="26"/>
    <x v="1"/>
  </r>
  <r>
    <n v="3357631311"/>
    <s v="LZA"/>
    <s v="V638"/>
    <s v="W"/>
    <n v="1792"/>
    <x v="29"/>
    <x v="0"/>
  </r>
  <r>
    <n v="4241680809"/>
    <s v="SO"/>
    <s v="RH348"/>
    <s v="L"/>
    <n v="2885"/>
    <x v="30"/>
    <x v="1"/>
  </r>
  <r>
    <n v="2281651150"/>
    <s v="NOL"/>
    <s v="16LG"/>
    <s v="W"/>
    <n v="2550"/>
    <x v="23"/>
    <x v="0"/>
  </r>
  <r>
    <n v="4779174699"/>
    <s v="DW"/>
    <s v="3881E"/>
    <s v="L"/>
    <n v="2362"/>
    <x v="6"/>
    <x v="1"/>
  </r>
  <r>
    <n v="5624201652"/>
    <s v="STA"/>
    <s v="97AK"/>
    <s v="L"/>
    <n v="3216"/>
    <x v="31"/>
    <x v="0"/>
  </r>
  <r>
    <n v="3866883575"/>
    <s v="LU"/>
    <s v="16798"/>
    <s v="W"/>
    <n v="2034"/>
    <x v="1"/>
    <x v="1"/>
  </r>
  <r>
    <n v="4796841112"/>
    <s v="DOA"/>
    <s v="K674"/>
    <s v="W"/>
    <n v="1885"/>
    <x v="16"/>
    <x v="0"/>
  </r>
  <r>
    <n v="5341884086"/>
    <s v="SO"/>
    <s v="SB135"/>
    <s v="W"/>
    <n v="2490"/>
    <x v="30"/>
    <x v="1"/>
  </r>
  <r>
    <n v="4779174699"/>
    <s v="DW"/>
    <s v="3831W"/>
    <s v="L"/>
    <n v="2580"/>
    <x v="6"/>
    <x v="1"/>
  </r>
  <r>
    <n v="5514533376"/>
    <s v="SB"/>
    <s v="26698"/>
    <s v="L"/>
    <n v="2634"/>
    <x v="12"/>
    <x v="1"/>
  </r>
  <r>
    <n v="3470453173"/>
    <s v="LC"/>
    <s v="7901K"/>
    <s v="W"/>
    <n v="2584"/>
    <x v="13"/>
    <x v="1"/>
  </r>
  <r>
    <n v="4796841112"/>
    <s v="DOA"/>
    <s v="U676"/>
    <s v="L"/>
    <n v="2576"/>
    <x v="16"/>
    <x v="0"/>
  </r>
  <r>
    <n v="5266741491"/>
    <s v="SO"/>
    <s v="P44AB"/>
    <s v="W"/>
    <n v="1946"/>
    <x v="30"/>
    <x v="1"/>
  </r>
  <r>
    <n v="4715154852"/>
    <s v="DW"/>
    <s v="23613"/>
    <s v="L"/>
    <n v="2880"/>
    <x v="6"/>
    <x v="1"/>
  </r>
  <r>
    <n v="5418968184"/>
    <s v="SO"/>
    <s v="O64VB"/>
    <s v="L"/>
    <n v="2630"/>
    <x v="30"/>
    <x v="1"/>
  </r>
  <r>
    <n v="1599095267"/>
    <s v="SO"/>
    <s v="PL129"/>
    <s v="W"/>
    <n v="2112"/>
    <x v="30"/>
    <x v="1"/>
  </r>
  <r>
    <n v="1433397952"/>
    <s v="PN"/>
    <s v="3621I"/>
    <s v="L"/>
    <n v="2928"/>
    <x v="14"/>
    <x v="1"/>
  </r>
  <r>
    <n v="2281651150"/>
    <s v="NOL"/>
    <s v="N650"/>
    <s v="W"/>
    <n v="2295"/>
    <x v="23"/>
    <x v="0"/>
  </r>
  <r>
    <n v="5341884086"/>
    <s v="SO"/>
    <s v="S34YB"/>
    <s v="L"/>
    <n v="2556"/>
    <x v="30"/>
    <x v="1"/>
  </r>
  <r>
    <n v="3568004264"/>
    <s v="LUB"/>
    <s v="Z620"/>
    <s v="L"/>
    <n v="2568"/>
    <x v="8"/>
    <x v="0"/>
  </r>
  <r>
    <n v="5185759244"/>
    <s v="SO"/>
    <s v="Y28XU"/>
    <s v="L"/>
    <n v="2674"/>
    <x v="30"/>
    <x v="1"/>
  </r>
  <r>
    <n v="4326751508"/>
    <s v="SB"/>
    <s v="47578"/>
    <s v="L"/>
    <n v="3120"/>
    <x v="12"/>
    <x v="1"/>
  </r>
  <r>
    <n v="1433397952"/>
    <s v="PN"/>
    <s v="16834"/>
    <s v="W"/>
    <n v="1896"/>
    <x v="14"/>
    <x v="1"/>
  </r>
  <r>
    <n v="4779174699"/>
    <s v="DW"/>
    <s v="16844"/>
    <s v="W"/>
    <n v="2608"/>
    <x v="6"/>
    <x v="1"/>
  </r>
  <r>
    <n v="3678947206"/>
    <s v="ONY"/>
    <s v="1267"/>
    <s v="W"/>
    <n v="2154"/>
    <x v="5"/>
    <x v="0"/>
  </r>
  <r>
    <n v="1939065269"/>
    <s v="PO"/>
    <s v="16882"/>
    <s v="L"/>
    <n v="2328"/>
    <x v="10"/>
    <x v="1"/>
  </r>
  <r>
    <n v="5514533376"/>
    <s v="DJE"/>
    <s v="25688"/>
    <s v="L"/>
    <n v="2548"/>
    <x v="32"/>
    <x v="0"/>
  </r>
  <r>
    <n v="5115061689"/>
    <s v="SRS"/>
    <s v="J666"/>
    <s v="W"/>
    <n v="1902"/>
    <x v="11"/>
    <x v="1"/>
  </r>
  <r>
    <n v="4326751508"/>
    <s v="DJE"/>
    <s v="52022"/>
    <s v="L"/>
    <n v="2456"/>
    <x v="32"/>
    <x v="0"/>
  </r>
  <r>
    <n v="1278408463"/>
    <s v="PKO"/>
    <s v="94RF"/>
    <s v="W"/>
    <n v="2544"/>
    <x v="14"/>
    <x v="1"/>
  </r>
  <r>
    <n v="5528435390"/>
    <s v="SO"/>
    <s v="A40FT"/>
    <s v="L"/>
    <n v="3495"/>
    <x v="30"/>
    <x v="1"/>
  </r>
  <r>
    <n v="2138598159"/>
    <s v="NEL"/>
    <s v="B596"/>
    <s v="L"/>
    <n v="2550"/>
    <x v="3"/>
    <x v="0"/>
  </r>
  <r>
    <n v="1599095267"/>
    <s v="SO"/>
    <s v="PW131"/>
    <s v="W"/>
    <n v="2448"/>
    <x v="30"/>
    <x v="1"/>
  </r>
  <r>
    <n v="5341884086"/>
    <s v="SO"/>
    <s v="SX136"/>
    <s v="L"/>
    <n v="3645"/>
    <x v="30"/>
    <x v="1"/>
  </r>
  <r>
    <n v="1433397952"/>
    <s v="PN"/>
    <s v="16822"/>
    <s v="W"/>
    <n v="2935"/>
    <x v="14"/>
    <x v="1"/>
  </r>
  <r>
    <n v="2138598159"/>
    <s v="NEL"/>
    <s v="I594"/>
    <s v="W"/>
    <n v="2834"/>
    <x v="3"/>
    <x v="0"/>
  </r>
  <r>
    <n v="2625657803"/>
    <s v="SO"/>
    <s v="U50HG"/>
    <s v="W"/>
    <n v="1624"/>
    <x v="30"/>
    <x v="1"/>
  </r>
  <r>
    <n v="1939065269"/>
    <s v="PO"/>
    <s v="3951A"/>
    <s v="L"/>
    <n v="2574"/>
    <x v="10"/>
    <x v="1"/>
  </r>
  <r>
    <n v="4326751508"/>
    <s v="DJE"/>
    <s v="54244"/>
    <s v="W"/>
    <n v="1806"/>
    <x v="32"/>
    <x v="0"/>
  </r>
  <r>
    <n v="2138598159"/>
    <s v="NEL"/>
    <s v="H592"/>
    <s v="W"/>
    <n v="3204"/>
    <x v="3"/>
    <x v="0"/>
  </r>
  <r>
    <n v="4779174699"/>
    <s v="DW"/>
    <s v="3861S"/>
    <s v="W"/>
    <n v="1618"/>
    <x v="6"/>
    <x v="1"/>
  </r>
  <r>
    <n v="3568004264"/>
    <s v="LUB"/>
    <s v="X626"/>
    <s v="W"/>
    <n v="2720"/>
    <x v="8"/>
    <x v="0"/>
  </r>
  <r>
    <n v="5115061689"/>
    <s v="SRS"/>
    <s v="18IT"/>
    <s v="W"/>
    <n v="3192"/>
    <x v="11"/>
    <x v="1"/>
  </r>
  <r>
    <n v="1361555378"/>
    <s v="SZ"/>
    <s v="WS237"/>
    <s v="W"/>
    <n v="2559"/>
    <x v="33"/>
    <x v="1"/>
  </r>
  <r>
    <n v="3866883575"/>
    <s v="LU"/>
    <s v="16796"/>
    <s v="L"/>
    <n v="2145"/>
    <x v="1"/>
    <x v="1"/>
  </r>
  <r>
    <n v="4761158900"/>
    <s v="OKL"/>
    <s v="73131"/>
    <s v="L"/>
    <n v="2674"/>
    <x v="19"/>
    <x v="0"/>
  </r>
  <r>
    <n v="4779174699"/>
    <s v="DW"/>
    <s v="16846"/>
    <s v="L"/>
    <n v="2192"/>
    <x v="6"/>
    <x v="1"/>
  </r>
  <r>
    <n v="6727559092"/>
    <s v="OPO"/>
    <s v="345G"/>
    <s v="L"/>
    <n v="2480"/>
    <x v="27"/>
    <x v="0"/>
  </r>
  <r>
    <n v="4761158900"/>
    <s v="BIA"/>
    <s v="78686"/>
    <s v="W"/>
    <n v="2578"/>
    <x v="34"/>
    <x v="0"/>
  </r>
  <r>
    <n v="4761158900"/>
    <s v="BIA"/>
    <s v="77575"/>
    <s v="W"/>
    <n v="1774"/>
    <x v="34"/>
    <x v="0"/>
  </r>
  <r>
    <n v="2394072755"/>
    <s v="SZ"/>
    <s v="EU125"/>
    <s v="W"/>
    <n v="750"/>
    <x v="33"/>
    <x v="1"/>
  </r>
  <r>
    <n v="1939065269"/>
    <s v="PO"/>
    <s v="16888"/>
    <s v="L"/>
    <n v="2562"/>
    <x v="10"/>
    <x v="1"/>
  </r>
  <r>
    <n v="3114182744"/>
    <s v="SZ"/>
    <s v="S97VV"/>
    <s v="L"/>
    <n v="1959"/>
    <x v="33"/>
    <x v="1"/>
  </r>
  <r>
    <n v="4326751508"/>
    <s v="EL"/>
    <s v="62021"/>
    <s v="L"/>
    <n v="2624"/>
    <x v="15"/>
    <x v="1"/>
  </r>
  <r>
    <n v="4326751508"/>
    <s v="DJE"/>
    <s v="50911"/>
    <s v="W"/>
    <n v="2760"/>
    <x v="32"/>
    <x v="0"/>
  </r>
  <r>
    <n v="3568004264"/>
    <s v="LUB"/>
    <s v="D622"/>
    <s v="L"/>
    <n v="2404"/>
    <x v="8"/>
    <x v="0"/>
  </r>
  <r>
    <n v="1278408463"/>
    <s v="PN"/>
    <s v="16780"/>
    <s v="L"/>
    <n v="2328"/>
    <x v="14"/>
    <x v="1"/>
  </r>
  <r>
    <n v="5185759244"/>
    <s v="SZ"/>
    <s v="Y26SL"/>
    <s v="W"/>
    <n v="2610"/>
    <x v="33"/>
    <x v="1"/>
  </r>
  <r>
    <n v="4761158900"/>
    <s v="BIA"/>
    <s v="75353"/>
    <s v="L"/>
    <n v="2010"/>
    <x v="34"/>
    <x v="0"/>
  </r>
  <r>
    <n v="4326751508"/>
    <s v="PL"/>
    <s v="68687"/>
    <s v="L"/>
    <n v="2196"/>
    <x v="35"/>
    <x v="1"/>
  </r>
  <r>
    <n v="6758177505"/>
    <s v="OPO"/>
    <s v="523S"/>
    <s v="W"/>
    <n v="2095"/>
    <x v="27"/>
    <x v="0"/>
  </r>
  <r>
    <n v="1617995032"/>
    <s v="PTU"/>
    <s v="J688"/>
    <s v="L"/>
    <n v="1899"/>
    <x v="4"/>
    <x v="0"/>
  </r>
  <r>
    <n v="1433397952"/>
    <s v="PN"/>
    <s v="3651R"/>
    <s v="W"/>
    <n v="2180"/>
    <x v="14"/>
    <x v="1"/>
  </r>
  <r>
    <n v="5115061689"/>
    <s v="SRS"/>
    <s v="G664"/>
    <s v="W"/>
    <n v="1864"/>
    <x v="11"/>
    <x v="1"/>
  </r>
  <r>
    <n v="4761158900"/>
    <s v="BIA"/>
    <s v="84241"/>
    <s v="W"/>
    <n v="2172"/>
    <x v="34"/>
    <x v="0"/>
  </r>
  <r>
    <n v="4761158900"/>
    <s v="BIA"/>
    <s v="85352"/>
    <s v="L"/>
    <n v="1950"/>
    <x v="34"/>
    <x v="0"/>
  </r>
  <r>
    <n v="2119268767"/>
    <s v="NEB"/>
    <s v="V602"/>
    <s v="W"/>
    <n v="2115"/>
    <x v="7"/>
    <x v="0"/>
  </r>
  <r>
    <n v="3866883575"/>
    <s v="LU"/>
    <s v="16790"/>
    <s v="W"/>
    <n v="2457"/>
    <x v="1"/>
    <x v="1"/>
  </r>
  <r>
    <n v="2394072755"/>
    <s v="SZ"/>
    <s v="ET124"/>
    <s v="W"/>
    <n v="2792"/>
    <x v="33"/>
    <x v="1"/>
  </r>
  <r>
    <n v="6758177505"/>
    <s v="OPO"/>
    <s v="567K"/>
    <s v="W"/>
    <n v="2915"/>
    <x v="27"/>
    <x v="0"/>
  </r>
  <r>
    <n v="4326751508"/>
    <s v="PL"/>
    <s v="63132"/>
    <s v="L"/>
    <n v="1515"/>
    <x v="35"/>
    <x v="1"/>
  </r>
  <r>
    <n v="2394072755"/>
    <s v="SZ"/>
    <s v="EU126"/>
    <s v="W"/>
    <n v="2330"/>
    <x v="33"/>
    <x v="1"/>
  </r>
  <r>
    <n v="4326751508"/>
    <s v="PL"/>
    <s v="66465"/>
    <s v="L"/>
    <n v="2245"/>
    <x v="35"/>
    <x v="1"/>
  </r>
  <r>
    <n v="5341884086"/>
    <s v="SZ"/>
    <s v="S45UV"/>
    <s v="L"/>
    <n v="2880"/>
    <x v="33"/>
    <x v="1"/>
  </r>
  <r>
    <n v="1581329071"/>
    <s v="SZ"/>
    <s v="E94CB"/>
    <s v="L"/>
    <n v="2270"/>
    <x v="33"/>
    <x v="1"/>
  </r>
  <r>
    <n v="5341884086"/>
    <s v="SZ"/>
    <s v="SD137"/>
    <s v="L"/>
    <n v="2748"/>
    <x v="33"/>
    <x v="1"/>
  </r>
  <r>
    <n v="4241680809"/>
    <s v="SZ"/>
    <s v="R80LN"/>
    <s v="W"/>
    <n v="1995"/>
    <x v="33"/>
    <x v="1"/>
  </r>
  <r>
    <n v="5229945534"/>
    <s v="SZ"/>
    <s v="G36RH"/>
    <s v="L"/>
    <n v="3276"/>
    <x v="33"/>
    <x v="1"/>
  </r>
  <r>
    <n v="2281651150"/>
    <s v="NOL"/>
    <s v="99KC"/>
    <s v="L"/>
    <n v="1622"/>
    <x v="23"/>
    <x v="0"/>
  </r>
  <r>
    <n v="6727559092"/>
    <s v="OPO"/>
    <s v="378G"/>
    <s v="W"/>
    <n v="2208"/>
    <x v="27"/>
    <x v="0"/>
  </r>
  <r>
    <n v="3678947206"/>
    <s v="ONY"/>
    <s v="1278"/>
    <s v="L"/>
    <n v="2065"/>
    <x v="5"/>
    <x v="0"/>
  </r>
  <r>
    <n v="2119268767"/>
    <s v="NEB"/>
    <s v="T600"/>
    <s v="W"/>
    <n v="1772"/>
    <x v="7"/>
    <x v="0"/>
  </r>
  <r>
    <n v="3568004264"/>
    <s v="LUB"/>
    <s v="63AR"/>
    <s v="W"/>
    <n v="2175"/>
    <x v="8"/>
    <x v="0"/>
  </r>
  <r>
    <n v="4326751508"/>
    <s v="DJE"/>
    <s v="53133"/>
    <s v="W"/>
    <n v="2958"/>
    <x v="32"/>
    <x v="0"/>
  </r>
  <r>
    <n v="4796841112"/>
    <s v="DOA"/>
    <s v="I680"/>
    <s v="L"/>
    <n v="2792"/>
    <x v="16"/>
    <x v="0"/>
  </r>
  <r>
    <n v="2138598159"/>
    <s v="NEL"/>
    <s v="M590"/>
    <s v="L"/>
    <n v="2049"/>
    <x v="3"/>
    <x v="0"/>
  </r>
  <r>
    <n v="1617995032"/>
    <s v="PTU"/>
    <s v="5F12"/>
    <s v="W"/>
    <n v="1946"/>
    <x v="4"/>
    <x v="0"/>
  </r>
  <r>
    <n v="1278408463"/>
    <s v="PKO"/>
    <s v="F572"/>
    <s v="L"/>
    <n v="2722"/>
    <x v="14"/>
    <x v="1"/>
  </r>
  <r>
    <n v="3345883725"/>
    <s v="LUB"/>
    <s v="J742"/>
    <s v="W"/>
    <n v="2344"/>
    <x v="8"/>
    <x v="0"/>
  </r>
  <r>
    <n v="5528435390"/>
    <s v="SZ"/>
    <s v="A42FY"/>
    <s v="W"/>
    <n v="2465"/>
    <x v="33"/>
    <x v="1"/>
  </r>
  <r>
    <n v="3783578981"/>
    <s v="PL"/>
    <s v="27910"/>
    <s v="W"/>
    <n v="2174"/>
    <x v="35"/>
    <x v="1"/>
  </r>
  <r>
    <n v="4761158900"/>
    <s v="BIA"/>
    <s v="79797"/>
    <s v="L"/>
    <n v="1812"/>
    <x v="34"/>
    <x v="0"/>
  </r>
  <r>
    <n v="4715154852"/>
    <s v="DW"/>
    <s v="601H"/>
    <s v="L"/>
    <n v="2800"/>
    <x v="6"/>
    <x v="1"/>
  </r>
  <r>
    <n v="2581219876"/>
    <s v="NEB"/>
    <s v="U728"/>
    <s v="W"/>
    <n v="2478"/>
    <x v="7"/>
    <x v="0"/>
  </r>
  <r>
    <n v="2245871126"/>
    <s v="TBU"/>
    <s v="23870"/>
    <s v="L"/>
    <n v="2562"/>
    <x v="22"/>
    <x v="0"/>
  </r>
  <r>
    <n v="6727559092"/>
    <s v="OPO"/>
    <s v="268H"/>
    <s v="W"/>
    <n v="980"/>
    <x v="27"/>
    <x v="0"/>
  </r>
  <r>
    <n v="1361555378"/>
    <s v="SZ"/>
    <s v="WB235"/>
    <s v="W"/>
    <n v="2325"/>
    <x v="33"/>
    <x v="1"/>
  </r>
  <r>
    <n v="5418968184"/>
    <s v="SZ"/>
    <s v="O58CY"/>
    <s v="W"/>
    <n v="1830"/>
    <x v="33"/>
    <x v="1"/>
  </r>
  <r>
    <n v="1165493421"/>
    <s v="SZ"/>
    <s v="L72WG"/>
    <s v="L"/>
    <n v="3122"/>
    <x v="33"/>
    <x v="1"/>
  </r>
  <r>
    <n v="1433397952"/>
    <s v="PN"/>
    <s v="16828"/>
    <s v="L"/>
    <n v="2660"/>
    <x v="14"/>
    <x v="1"/>
  </r>
  <r>
    <n v="6727559092"/>
    <s v="STA"/>
    <s v="334F"/>
    <s v="L"/>
    <n v="2822"/>
    <x v="31"/>
    <x v="0"/>
  </r>
  <r>
    <n v="5514533376"/>
    <s v="DJE"/>
    <s v="25890"/>
    <s v="L"/>
    <n v="2895"/>
    <x v="32"/>
    <x v="0"/>
  </r>
  <r>
    <n v="3866883575"/>
    <s v="LU"/>
    <s v="3601Y"/>
    <s v="L"/>
    <n v="2638"/>
    <x v="1"/>
    <x v="1"/>
  </r>
  <r>
    <n v="1433397952"/>
    <s v="PN"/>
    <s v="3641B"/>
    <s v="L"/>
    <n v="2018"/>
    <x v="14"/>
    <x v="1"/>
  </r>
  <r>
    <n v="4779174699"/>
    <s v="DW"/>
    <s v="16848"/>
    <s v="L"/>
    <n v="1600"/>
    <x v="6"/>
    <x v="1"/>
  </r>
  <r>
    <n v="4326751508"/>
    <s v="PL"/>
    <s v="67576"/>
    <s v="L"/>
    <n v="1800"/>
    <x v="35"/>
    <x v="1"/>
  </r>
  <r>
    <n v="4761158900"/>
    <s v="BIA"/>
    <s v="72020"/>
    <s v="L"/>
    <n v="3144"/>
    <x v="34"/>
    <x v="0"/>
  </r>
  <r>
    <n v="2119268767"/>
    <s v="NEB"/>
    <s v="D604"/>
    <s v="L"/>
    <n v="1740"/>
    <x v="7"/>
    <x v="0"/>
  </r>
  <r>
    <n v="2581219876"/>
    <s v="NEB"/>
    <s v="Y726"/>
    <s v="L"/>
    <n v="2490"/>
    <x v="7"/>
    <x v="0"/>
  </r>
  <r>
    <n v="2281651150"/>
    <s v="NOL"/>
    <s v="Y648"/>
    <s v="W"/>
    <n v="2170"/>
    <x v="23"/>
    <x v="0"/>
  </r>
  <r>
    <n v="1599095267"/>
    <s v="SZ"/>
    <s v="PR133"/>
    <s v="L"/>
    <n v="2238"/>
    <x v="33"/>
    <x v="1"/>
  </r>
  <r>
    <n v="3783578981"/>
    <s v="PL"/>
    <s v="28516"/>
    <s v="W"/>
    <n v="2642"/>
    <x v="35"/>
    <x v="1"/>
  </r>
  <r>
    <n v="4779174699"/>
    <s v="DW"/>
    <s v="16850"/>
    <s v="L"/>
    <n v="1575"/>
    <x v="6"/>
    <x v="1"/>
  </r>
  <r>
    <n v="4580185570"/>
    <s v="SZ"/>
    <s v="JG549"/>
    <s v="L"/>
    <n v="1623"/>
    <x v="33"/>
    <x v="1"/>
  </r>
  <r>
    <n v="6727559092"/>
    <s v="STA"/>
    <s v="290G"/>
    <s v="W"/>
    <n v="2550"/>
    <x v="31"/>
    <x v="0"/>
  </r>
  <r>
    <n v="6727559092"/>
    <s v="STA"/>
    <s v="312W"/>
    <s v="L"/>
    <n v="2384"/>
    <x v="31"/>
    <x v="0"/>
  </r>
  <r>
    <n v="5418968184"/>
    <s v="SR"/>
    <s v="O66QH"/>
    <s v="W"/>
    <n v="2364"/>
    <x v="36"/>
    <x v="1"/>
  </r>
  <r>
    <n v="5514533376"/>
    <s v="DJE"/>
    <s v="26496"/>
    <s v="L"/>
    <n v="2642"/>
    <x v="32"/>
    <x v="0"/>
  </r>
  <r>
    <n v="3579231044"/>
    <s v="LLE"/>
    <s v="R714"/>
    <s v="L"/>
    <n v="3002"/>
    <x v="25"/>
    <x v="0"/>
  </r>
  <r>
    <n v="4458233905"/>
    <s v="DW"/>
    <s v="56456"/>
    <s v="L"/>
    <n v="3128"/>
    <x v="6"/>
    <x v="1"/>
  </r>
  <r>
    <n v="1939065269"/>
    <s v="PO"/>
    <s v="16884"/>
    <s v="W"/>
    <n v="1980"/>
    <x v="10"/>
    <x v="1"/>
  </r>
  <r>
    <n v="3345883725"/>
    <s v="LUB"/>
    <s v="I740"/>
    <s v="W"/>
    <n v="2784"/>
    <x v="8"/>
    <x v="0"/>
  </r>
  <r>
    <n v="3357631311"/>
    <s v="LZA"/>
    <s v="T642"/>
    <s v="L"/>
    <n v="2014"/>
    <x v="29"/>
    <x v="0"/>
  </r>
  <r>
    <n v="2869229213"/>
    <s v="SR"/>
    <s v="K34AW"/>
    <s v="W"/>
    <n v="1280"/>
    <x v="36"/>
    <x v="1"/>
  </r>
  <r>
    <n v="1599095267"/>
    <s v="SR"/>
    <s v="PS130"/>
    <s v="W"/>
    <n v="2796"/>
    <x v="36"/>
    <x v="1"/>
  </r>
  <r>
    <n v="3678947206"/>
    <s v="ONY"/>
    <s v="1289"/>
    <s v="W"/>
    <n v="2475"/>
    <x v="5"/>
    <x v="0"/>
  </r>
  <r>
    <n v="2245871126"/>
    <s v="TBU"/>
    <s v="23668"/>
    <s v="W"/>
    <n v="1806"/>
    <x v="22"/>
    <x v="0"/>
  </r>
  <r>
    <n v="5115061689"/>
    <s v="SRS"/>
    <s v="20AF"/>
    <s v="W"/>
    <n v="2595"/>
    <x v="11"/>
    <x v="1"/>
  </r>
  <r>
    <n v="1620242236"/>
    <s v="PN"/>
    <s v="4121F"/>
    <s v="L"/>
    <n v="2836"/>
    <x v="14"/>
    <x v="1"/>
  </r>
  <r>
    <n v="3318203338"/>
    <s v="SR"/>
    <s v="L45QM"/>
    <s v="W"/>
    <n v="2349"/>
    <x v="36"/>
    <x v="1"/>
  </r>
  <r>
    <n v="3357631311"/>
    <s v="LZA"/>
    <s v="H640"/>
    <s v="W"/>
    <n v="2870"/>
    <x v="29"/>
    <x v="0"/>
  </r>
  <r>
    <n v="4580185570"/>
    <s v="SR"/>
    <s v="JH548"/>
    <s v="W"/>
    <n v="2616"/>
    <x v="36"/>
    <x v="1"/>
  </r>
  <r>
    <n v="6758177505"/>
    <s v="STA"/>
    <s v="534U"/>
    <s v="L"/>
    <n v="2523"/>
    <x v="31"/>
    <x v="0"/>
  </r>
  <r>
    <n v="3568004264"/>
    <s v="LUB"/>
    <s v="G634"/>
    <s v="L"/>
    <n v="2060"/>
    <x v="8"/>
    <x v="0"/>
  </r>
  <r>
    <n v="3470453173"/>
    <s v="LC"/>
    <s v="7891Q"/>
    <s v="W"/>
    <n v="2151"/>
    <x v="13"/>
    <x v="1"/>
  </r>
  <r>
    <n v="3866883575"/>
    <s v="LU"/>
    <s v="3591T"/>
    <s v="W"/>
    <n v="2818"/>
    <x v="1"/>
    <x v="1"/>
  </r>
  <r>
    <n v="1433397952"/>
    <s v="PN"/>
    <s v="3661T"/>
    <s v="W"/>
    <n v="1851"/>
    <x v="14"/>
    <x v="1"/>
  </r>
  <r>
    <n v="3470453173"/>
    <s v="LC"/>
    <s v="7899B"/>
    <s v="L"/>
    <n v="2062"/>
    <x v="13"/>
    <x v="1"/>
  </r>
  <r>
    <n v="6758177505"/>
    <s v="STA"/>
    <s v="457K"/>
    <s v="W"/>
    <n v="2258"/>
    <x v="31"/>
    <x v="0"/>
  </r>
  <r>
    <n v="5266741491"/>
    <s v="SR"/>
    <s v="P46ZH"/>
    <s v="W"/>
    <n v="1774"/>
    <x v="36"/>
    <x v="1"/>
  </r>
  <r>
    <n v="2214740049"/>
    <s v="NBR"/>
    <s v="X708"/>
    <s v="W"/>
    <n v="2066"/>
    <x v="28"/>
    <x v="0"/>
  </r>
  <r>
    <n v="1433397952"/>
    <s v="PN"/>
    <s v="16826"/>
    <s v="W"/>
    <n v="1626"/>
    <x v="14"/>
    <x v="1"/>
  </r>
  <r>
    <n v="4326751508"/>
    <s v="DJE"/>
    <s v="46467"/>
    <s v="W"/>
    <n v="1601"/>
    <x v="32"/>
    <x v="0"/>
  </r>
  <r>
    <n v="1433397952"/>
    <s v="PN"/>
    <s v="16824"/>
    <s v="W"/>
    <n v="2865"/>
    <x v="14"/>
    <x v="1"/>
  </r>
  <r>
    <n v="2281651150"/>
    <s v="NOL"/>
    <s v="J646"/>
    <s v="L"/>
    <n v="2136"/>
    <x v="23"/>
    <x v="0"/>
  </r>
  <r>
    <n v="5581610439"/>
    <s v="SPI"/>
    <s v="O750"/>
    <s v="W"/>
    <n v="2316"/>
    <x v="37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n v="6727559092"/>
    <s v="KTA"/>
    <s v="323W"/>
    <s v="L"/>
    <n v="1240"/>
    <s v="tarnowski"/>
    <x v="0"/>
    <x v="0"/>
  </r>
  <r>
    <n v="3866883575"/>
    <s v="LU"/>
    <s v="16794"/>
    <s v="L"/>
    <n v="3022"/>
    <s v="Lublin"/>
    <x v="0"/>
    <x v="1"/>
  </r>
  <r>
    <n v="1165493421"/>
    <s v="SBE"/>
    <s v="LL545"/>
    <s v="L"/>
    <n v="1770"/>
    <s v="bedzinski"/>
    <x v="0"/>
    <x v="2"/>
  </r>
  <r>
    <n v="2138598159"/>
    <s v="NEL"/>
    <s v="L584"/>
    <s v="L"/>
    <n v="2272"/>
    <s v="elcki"/>
    <x v="0"/>
    <x v="3"/>
  </r>
  <r>
    <n v="1617995032"/>
    <s v="PTU"/>
    <s v="6R13"/>
    <s v="L"/>
    <n v="2253"/>
    <s v="turecki"/>
    <x v="0"/>
    <x v="4"/>
  </r>
  <r>
    <n v="2625657803"/>
    <s v="SBE"/>
    <s v="U48HH"/>
    <s v="W"/>
    <n v="2349"/>
    <s v="bedzinski"/>
    <x v="0"/>
    <x v="5"/>
  </r>
  <r>
    <n v="6758177505"/>
    <s v="KTA"/>
    <s v="468L"/>
    <s v="W"/>
    <n v="2154"/>
    <s v="tarnowski"/>
    <x v="0"/>
    <x v="6"/>
  </r>
  <r>
    <n v="4531538788"/>
    <s v="SBE"/>
    <s v="TE554"/>
    <s v="L"/>
    <n v="2385"/>
    <s v="bedzinski"/>
    <x v="0"/>
    <x v="7"/>
  </r>
  <r>
    <n v="2138598159"/>
    <s v="NEL"/>
    <s v="O586"/>
    <s v="W"/>
    <n v="2370"/>
    <s v="elcki"/>
    <x v="0"/>
    <x v="3"/>
  </r>
  <r>
    <n v="1818291355"/>
    <s v="SBE"/>
    <s v="Z67OX"/>
    <s v="L"/>
    <n v="1862"/>
    <s v="bedzinski"/>
    <x v="0"/>
    <x v="8"/>
  </r>
  <r>
    <n v="2599394621"/>
    <s v="SBE"/>
    <s v="CD551"/>
    <s v="W"/>
    <n v="2508"/>
    <s v="bedzinski"/>
    <x v="0"/>
    <x v="9"/>
  </r>
  <r>
    <n v="4653095092"/>
    <s v="ONY"/>
    <s v="1234"/>
    <s v="L"/>
    <n v="2502"/>
    <s v="nyski"/>
    <x v="0"/>
    <x v="10"/>
  </r>
  <r>
    <n v="5229945534"/>
    <s v="SBE"/>
    <s v="G38FY"/>
    <s v="W"/>
    <n v="2674"/>
    <s v="bedzinski"/>
    <x v="0"/>
    <x v="11"/>
  </r>
  <r>
    <n v="3743661247"/>
    <s v="SBE"/>
    <s v="Z99ZO"/>
    <s v="W"/>
    <n v="2176"/>
    <s v="bedzinski"/>
    <x v="0"/>
    <x v="12"/>
  </r>
  <r>
    <n v="4779174699"/>
    <s v="DW"/>
    <s v="16852"/>
    <s v="W"/>
    <n v="1875"/>
    <s v="Wroclaw"/>
    <x v="0"/>
    <x v="13"/>
  </r>
  <r>
    <n v="4715154852"/>
    <s v="DW"/>
    <s v="23815"/>
    <s v="L"/>
    <n v="2520"/>
    <s v="Wroclaw"/>
    <x v="0"/>
    <x v="14"/>
  </r>
  <r>
    <n v="6758177505"/>
    <s v="KTA"/>
    <s v="545S"/>
    <s v="L"/>
    <n v="2984"/>
    <s v="tarnowski"/>
    <x v="0"/>
    <x v="6"/>
  </r>
  <r>
    <n v="2581219876"/>
    <s v="NEB"/>
    <s v="92NR"/>
    <s v="W"/>
    <n v="2685"/>
    <s v="elblaski"/>
    <x v="0"/>
    <x v="15"/>
  </r>
  <r>
    <n v="3568004264"/>
    <s v="LUB"/>
    <s v="Q624"/>
    <s v="L"/>
    <n v="2438"/>
    <s v="lubelski"/>
    <x v="0"/>
    <x v="16"/>
  </r>
  <r>
    <n v="6727559092"/>
    <s v="KTA"/>
    <s v="257G"/>
    <s v="W"/>
    <n v="2435"/>
    <s v="tarnowski"/>
    <x v="0"/>
    <x v="0"/>
  </r>
  <r>
    <n v="5418968184"/>
    <s v="SBE"/>
    <s v="O60RV"/>
    <s v="L"/>
    <n v="1806"/>
    <s v="bedzinski"/>
    <x v="0"/>
    <x v="17"/>
  </r>
  <r>
    <n v="4956781088"/>
    <s v="DGR"/>
    <s v="F718"/>
    <s v="W"/>
    <n v="2156"/>
    <s v="gorowski"/>
    <x v="0"/>
    <x v="18"/>
  </r>
  <r>
    <n v="5341884086"/>
    <s v="SBE"/>
    <s v="SA138"/>
    <s v="W"/>
    <n v="1908"/>
    <s v="bedzinski"/>
    <x v="0"/>
    <x v="19"/>
  </r>
  <r>
    <n v="1939065269"/>
    <s v="PO"/>
    <s v="16886"/>
    <s v="W"/>
    <n v="3156"/>
    <s v="Poznan"/>
    <x v="0"/>
    <x v="20"/>
  </r>
  <r>
    <n v="4715154852"/>
    <s v="DW"/>
    <s v="557F"/>
    <s v="L"/>
    <n v="2276"/>
    <s v="Wroclaw"/>
    <x v="0"/>
    <x v="14"/>
  </r>
  <r>
    <n v="5115061689"/>
    <s v="SRS"/>
    <s v="D662"/>
    <s v="W"/>
    <n v="1627"/>
    <s v="Ruda Slaska"/>
    <x v="0"/>
    <x v="21"/>
  </r>
  <r>
    <n v="4326751508"/>
    <s v="SB"/>
    <s v="55355"/>
    <s v="W"/>
    <n v="2060"/>
    <s v="Bielsko-Biala"/>
    <x v="0"/>
    <x v="22"/>
  </r>
  <r>
    <n v="1581329071"/>
    <s v="SBE"/>
    <s v="E93DN"/>
    <s v="W"/>
    <n v="2236"/>
    <s v="bedzinski"/>
    <x v="0"/>
    <x v="23"/>
  </r>
  <r>
    <n v="4326751508"/>
    <s v="SB"/>
    <s v="56466"/>
    <s v="L"/>
    <n v="2000"/>
    <s v="Bielsko-Biala"/>
    <x v="0"/>
    <x v="22"/>
  </r>
  <r>
    <n v="3470453173"/>
    <s v="LC"/>
    <s v="7895G"/>
    <s v="L"/>
    <n v="2040"/>
    <s v="Chelm"/>
    <x v="0"/>
    <x v="24"/>
  </r>
  <r>
    <n v="1433397952"/>
    <s v="PN"/>
    <s v="16832"/>
    <s v="W"/>
    <n v="2734"/>
    <s v="Konin"/>
    <x v="1"/>
    <x v="25"/>
  </r>
  <r>
    <n v="3783578981"/>
    <s v="EL"/>
    <s v="28920"/>
    <s v="L"/>
    <n v="1935"/>
    <s v="Lodz"/>
    <x v="0"/>
    <x v="26"/>
  </r>
  <r>
    <n v="2581219876"/>
    <s v="NEB"/>
    <s v="90HD"/>
    <s v="W"/>
    <n v="2818"/>
    <s v="elblaski"/>
    <x v="0"/>
    <x v="15"/>
  </r>
  <r>
    <n v="4796841112"/>
    <s v="DOA"/>
    <s v="R672"/>
    <s v="L"/>
    <n v="2668"/>
    <s v="olawski"/>
    <x v="0"/>
    <x v="27"/>
  </r>
  <r>
    <n v="4715154852"/>
    <s v="DW"/>
    <s v="23411"/>
    <s v="W"/>
    <n v="2700"/>
    <s v="Wroclaw"/>
    <x v="0"/>
    <x v="14"/>
  </r>
  <r>
    <n v="4241680809"/>
    <s v="SBE"/>
    <s v="RF346"/>
    <s v="W"/>
    <n v="2496"/>
    <s v="bedzinski"/>
    <x v="0"/>
    <x v="28"/>
  </r>
  <r>
    <n v="1617995032"/>
    <s v="PTU"/>
    <s v="54PX"/>
    <s v="W"/>
    <n v="2148"/>
    <s v="turecki"/>
    <x v="0"/>
    <x v="4"/>
  </r>
  <r>
    <n v="1433397952"/>
    <s v="PN"/>
    <s v="16838"/>
    <s v="L"/>
    <n v="2160"/>
    <s v="Konin"/>
    <x v="1"/>
    <x v="25"/>
  </r>
  <r>
    <n v="4326751508"/>
    <s v="EL"/>
    <s v="69798"/>
    <s v="W"/>
    <n v="2056"/>
    <s v="Lodz"/>
    <x v="0"/>
    <x v="22"/>
  </r>
  <r>
    <n v="1246489959"/>
    <s v="SBE"/>
    <s v="M52XG"/>
    <s v="W"/>
    <n v="1812"/>
    <s v="bedzinski"/>
    <x v="0"/>
    <x v="29"/>
  </r>
  <r>
    <n v="4241680809"/>
    <s v="SBE"/>
    <s v="RJ349"/>
    <s v="W"/>
    <n v="2664"/>
    <s v="bedzinski"/>
    <x v="0"/>
    <x v="28"/>
  </r>
  <r>
    <n v="3470453173"/>
    <s v="LC"/>
    <s v="34568"/>
    <s v="W"/>
    <n v="2872"/>
    <s v="Chelm"/>
    <x v="0"/>
    <x v="24"/>
  </r>
  <r>
    <n v="3568004264"/>
    <s v="LUB"/>
    <s v="E630"/>
    <s v="W"/>
    <n v="1928"/>
    <s v="lubelski"/>
    <x v="0"/>
    <x v="16"/>
  </r>
  <r>
    <n v="1617995032"/>
    <s v="PTU"/>
    <s v="7D14"/>
    <s v="W"/>
    <n v="2194"/>
    <s v="turecki"/>
    <x v="0"/>
    <x v="4"/>
  </r>
  <r>
    <n v="2119268767"/>
    <s v="NEB"/>
    <s v="55CS"/>
    <s v="W"/>
    <n v="2114"/>
    <s v="elblaski"/>
    <x v="0"/>
    <x v="30"/>
  </r>
  <r>
    <n v="5341884086"/>
    <s v="SK"/>
    <s v="S12EM"/>
    <s v="W"/>
    <n v="2364"/>
    <s v="Katowice"/>
    <x v="0"/>
    <x v="19"/>
  </r>
  <r>
    <n v="4779174699"/>
    <s v="DW"/>
    <s v="3841A"/>
    <s v="W"/>
    <n v="2462"/>
    <s v="Wroclaw"/>
    <x v="0"/>
    <x v="13"/>
  </r>
  <r>
    <n v="1939065269"/>
    <s v="PO"/>
    <s v="16880"/>
    <s v="W"/>
    <n v="2696"/>
    <s v="Poznan"/>
    <x v="0"/>
    <x v="20"/>
  </r>
  <r>
    <n v="1939065269"/>
    <s v="PO"/>
    <s v="3921Q"/>
    <s v="L"/>
    <n v="2073"/>
    <s v="Poznan"/>
    <x v="0"/>
    <x v="20"/>
  </r>
  <r>
    <n v="5459753232"/>
    <s v="BSI"/>
    <s v="24678"/>
    <s v="W"/>
    <n v="1629"/>
    <s v="siemiatycki"/>
    <x v="0"/>
    <x v="31"/>
  </r>
  <r>
    <n v="4761158900"/>
    <s v="OKL"/>
    <s v="83130"/>
    <s v="W"/>
    <n v="2139"/>
    <s v="kluczborski"/>
    <x v="0"/>
    <x v="32"/>
  </r>
  <r>
    <n v="1127056356"/>
    <s v="PKS"/>
    <s v="C568"/>
    <s v="W"/>
    <n v="2944"/>
    <s v="koscianski"/>
    <x v="0"/>
    <x v="33"/>
  </r>
  <r>
    <n v="1361555378"/>
    <s v="SK"/>
    <s v="WM236"/>
    <s v="L"/>
    <n v="2250"/>
    <s v="Katowice"/>
    <x v="0"/>
    <x v="34"/>
  </r>
  <r>
    <n v="1278408463"/>
    <s v="PN"/>
    <s v="16782"/>
    <s v="W"/>
    <n v="2190"/>
    <s v="Konin"/>
    <x v="1"/>
    <x v="35"/>
  </r>
  <r>
    <n v="3114182744"/>
    <s v="SK"/>
    <s v="S98QG"/>
    <s v="W"/>
    <n v="2074"/>
    <s v="Katowice"/>
    <x v="0"/>
    <x v="36"/>
  </r>
  <r>
    <n v="4458233905"/>
    <s v="DW"/>
    <s v="3344T"/>
    <s v="L"/>
    <n v="1200"/>
    <s v="Wroclaw"/>
    <x v="0"/>
    <x v="37"/>
  </r>
  <r>
    <n v="1617995032"/>
    <s v="PTU"/>
    <s v="L690"/>
    <s v="L"/>
    <n v="1965"/>
    <s v="turecki"/>
    <x v="0"/>
    <x v="4"/>
  </r>
  <r>
    <n v="4761158900"/>
    <s v="OKL"/>
    <s v="74242"/>
    <s v="L"/>
    <n v="1894"/>
    <s v="kluczborski"/>
    <x v="0"/>
    <x v="32"/>
  </r>
  <r>
    <n v="4241680809"/>
    <s v="SK"/>
    <s v="RG347"/>
    <s v="W"/>
    <n v="1946"/>
    <s v="Katowice"/>
    <x v="0"/>
    <x v="28"/>
  </r>
  <r>
    <n v="1524870307"/>
    <s v="SK"/>
    <s v="N89WP"/>
    <s v="L"/>
    <n v="1810"/>
    <s v="Katowice"/>
    <x v="0"/>
    <x v="38"/>
  </r>
  <r>
    <n v="1818291355"/>
    <s v="SK"/>
    <s v="Z78PZ"/>
    <s v="L"/>
    <n v="2448"/>
    <s v="Katowice"/>
    <x v="0"/>
    <x v="8"/>
  </r>
  <r>
    <n v="4653095092"/>
    <s v="ONY"/>
    <s v="1245"/>
    <s v="W"/>
    <n v="1995"/>
    <s v="nyski"/>
    <x v="0"/>
    <x v="10"/>
  </r>
  <r>
    <n v="6758177505"/>
    <s v="KTA"/>
    <s v="512R"/>
    <s v="L"/>
    <n v="2216"/>
    <s v="tarnowski"/>
    <x v="0"/>
    <x v="6"/>
  </r>
  <r>
    <n v="1278408463"/>
    <s v="PN"/>
    <s v="16784"/>
    <s v="L"/>
    <n v="2226"/>
    <s v="Konin"/>
    <x v="1"/>
    <x v="35"/>
  </r>
  <r>
    <n v="3318203338"/>
    <s v="SK"/>
    <s v="LG353"/>
    <s v="L"/>
    <n v="2640"/>
    <s v="Katowice"/>
    <x v="0"/>
    <x v="39"/>
  </r>
  <r>
    <n v="1617995032"/>
    <s v="PTU"/>
    <s v="52YS"/>
    <s v="L"/>
    <n v="2358"/>
    <s v="turecki"/>
    <x v="0"/>
    <x v="4"/>
  </r>
  <r>
    <n v="4458233905"/>
    <s v="DW"/>
    <s v="RM754"/>
    <s v="W"/>
    <n v="2175"/>
    <s v="Wroclaw"/>
    <x v="0"/>
    <x v="37"/>
  </r>
  <r>
    <n v="1361555378"/>
    <s v="SK"/>
    <s v="WD234"/>
    <s v="L"/>
    <n v="2972"/>
    <s v="Katowice"/>
    <x v="0"/>
    <x v="34"/>
  </r>
  <r>
    <n v="6758177505"/>
    <s v="RTA"/>
    <s v="490N"/>
    <s v="L"/>
    <n v="1779"/>
    <s v="tarnobrzeski"/>
    <x v="0"/>
    <x v="6"/>
  </r>
  <r>
    <n v="3318203338"/>
    <s v="SK"/>
    <s v="L67AK"/>
    <s v="W"/>
    <n v="2165"/>
    <s v="Katowice"/>
    <x v="0"/>
    <x v="39"/>
  </r>
  <r>
    <n v="5459753232"/>
    <s v="BSI"/>
    <s v="25082"/>
    <s v="L"/>
    <n v="2758"/>
    <s v="siemiatycki"/>
    <x v="0"/>
    <x v="31"/>
  </r>
  <r>
    <n v="4326751508"/>
    <s v="SB"/>
    <s v="49800"/>
    <s v="W"/>
    <n v="2198"/>
    <s v="Bielsko-Biala"/>
    <x v="0"/>
    <x v="22"/>
  </r>
  <r>
    <n v="4326751508"/>
    <s v="SB"/>
    <s v="57577"/>
    <s v="W"/>
    <n v="1902"/>
    <s v="Bielsko-Biala"/>
    <x v="0"/>
    <x v="22"/>
  </r>
  <r>
    <n v="4458233905"/>
    <s v="SK"/>
    <s v="RM745"/>
    <s v="W"/>
    <n v="2318"/>
    <s v="Katowice"/>
    <x v="0"/>
    <x v="37"/>
  </r>
  <r>
    <n v="3470453173"/>
    <s v="LC"/>
    <s v="7893E"/>
    <s v="L"/>
    <n v="2415"/>
    <s v="Chelm"/>
    <x v="0"/>
    <x v="24"/>
  </r>
  <r>
    <n v="1524870307"/>
    <s v="SK"/>
    <s v="N90SL"/>
    <s v="W"/>
    <n v="1893"/>
    <s v="Katowice"/>
    <x v="0"/>
    <x v="38"/>
  </r>
  <r>
    <n v="2245871126"/>
    <s v="TBU"/>
    <s v="24072"/>
    <s v="W"/>
    <n v="1950"/>
    <s v="buski"/>
    <x v="0"/>
    <x v="40"/>
  </r>
  <r>
    <n v="2281651150"/>
    <s v="NOL"/>
    <s v="14UV"/>
    <s v="W"/>
    <n v="2575"/>
    <s v="olsztynski"/>
    <x v="0"/>
    <x v="41"/>
  </r>
  <r>
    <n v="5266741491"/>
    <s v="PO"/>
    <s v="P48WY"/>
    <s v="L"/>
    <n v="2565"/>
    <s v="Poznan"/>
    <x v="0"/>
    <x v="42"/>
  </r>
  <r>
    <n v="5341884086"/>
    <s v="PO"/>
    <s v="S23TN"/>
    <s v="L"/>
    <n v="1970"/>
    <s v="Poznan"/>
    <x v="0"/>
    <x v="19"/>
  </r>
  <r>
    <n v="5459753232"/>
    <s v="BSI"/>
    <s v="25284"/>
    <s v="W"/>
    <n v="1950"/>
    <s v="siemiatycki"/>
    <x v="0"/>
    <x v="31"/>
  </r>
  <r>
    <n v="1617995032"/>
    <s v="PTU"/>
    <s v="56KC"/>
    <s v="L"/>
    <n v="2448"/>
    <s v="turecki"/>
    <x v="0"/>
    <x v="4"/>
  </r>
  <r>
    <n v="5185759244"/>
    <s v="PO"/>
    <s v="Y32DP"/>
    <s v="W"/>
    <n v="2688"/>
    <s v="Poznan"/>
    <x v="0"/>
    <x v="43"/>
  </r>
  <r>
    <n v="3568004264"/>
    <s v="LUB"/>
    <s v="C632"/>
    <s v="L"/>
    <n v="2185"/>
    <s v="lubelski"/>
    <x v="0"/>
    <x v="16"/>
  </r>
  <r>
    <n v="1620242236"/>
    <s v="PN"/>
    <s v="4111S"/>
    <s v="W"/>
    <n v="3192"/>
    <s v="Konin"/>
    <x v="1"/>
    <x v="44"/>
  </r>
  <r>
    <n v="3470453173"/>
    <s v="LC"/>
    <s v="34570"/>
    <s v="W"/>
    <n v="2464"/>
    <s v="Chelm"/>
    <x v="0"/>
    <x v="24"/>
  </r>
  <r>
    <n v="6727559092"/>
    <s v="RTA"/>
    <s v="301J"/>
    <s v="W"/>
    <n v="2034"/>
    <s v="tarnobrzeski"/>
    <x v="0"/>
    <x v="0"/>
  </r>
  <r>
    <n v="1127056356"/>
    <s v="PKS"/>
    <s v="Q564"/>
    <s v="L"/>
    <n v="2436"/>
    <s v="koscianski"/>
    <x v="0"/>
    <x v="33"/>
  </r>
  <r>
    <n v="6727559092"/>
    <s v="RTA"/>
    <s v="279H"/>
    <s v="W"/>
    <n v="2114"/>
    <s v="tarnobrzeski"/>
    <x v="0"/>
    <x v="0"/>
  </r>
  <r>
    <n v="1939065269"/>
    <s v="PO"/>
    <s v="3941D"/>
    <s v="L"/>
    <n v="2390"/>
    <s v="Poznan"/>
    <x v="0"/>
    <x v="20"/>
  </r>
  <r>
    <n v="1820566794"/>
    <s v="PP"/>
    <s v="27304"/>
    <s v="L"/>
    <n v="1932"/>
    <s v="pilski"/>
    <x v="0"/>
    <x v="45"/>
  </r>
  <r>
    <n v="4241680809"/>
    <s v="PO"/>
    <s v="RD345"/>
    <s v="L"/>
    <n v="2720"/>
    <s v="Poznan"/>
    <x v="0"/>
    <x v="28"/>
  </r>
  <r>
    <n v="4458233905"/>
    <s v="DW"/>
    <s v="4356G"/>
    <s v="L"/>
    <n v="2478"/>
    <s v="Wroclaw"/>
    <x v="0"/>
    <x v="37"/>
  </r>
  <r>
    <n v="1433397952"/>
    <s v="PN"/>
    <s v="16836"/>
    <s v="W"/>
    <n v="2434"/>
    <s v="Konin"/>
    <x v="1"/>
    <x v="25"/>
  </r>
  <r>
    <n v="4779174699"/>
    <s v="DW"/>
    <s v="3851Q"/>
    <s v="L"/>
    <n v="2992"/>
    <s v="Wroclaw"/>
    <x v="0"/>
    <x v="13"/>
  </r>
  <r>
    <n v="5459753232"/>
    <s v="BSI"/>
    <s v="24880"/>
    <s v="W"/>
    <n v="1860"/>
    <s v="siemiatycki"/>
    <x v="0"/>
    <x v="31"/>
  </r>
  <r>
    <n v="3318203338"/>
    <s v="PO"/>
    <s v="LF354"/>
    <s v="L"/>
    <n v="2427"/>
    <s v="Poznan"/>
    <x v="0"/>
    <x v="39"/>
  </r>
  <r>
    <n v="5514533376"/>
    <s v="SB"/>
    <s v="26294"/>
    <s v="W"/>
    <n v="2926"/>
    <s v="Bielsko-Biala"/>
    <x v="0"/>
    <x v="46"/>
  </r>
  <r>
    <n v="5418968184"/>
    <s v="PO"/>
    <s v="O68AY"/>
    <s v="W"/>
    <n v="1902"/>
    <s v="Poznan"/>
    <x v="0"/>
    <x v="17"/>
  </r>
  <r>
    <n v="4956781088"/>
    <s v="DGR"/>
    <s v="V720"/>
    <s v="L"/>
    <n v="1929"/>
    <s v="gorowski"/>
    <x v="0"/>
    <x v="18"/>
  </r>
  <r>
    <n v="4241680809"/>
    <s v="PO"/>
    <s v="RL351"/>
    <s v="L"/>
    <n v="3056"/>
    <s v="Poznan"/>
    <x v="0"/>
    <x v="28"/>
  </r>
  <r>
    <n v="2599394621"/>
    <s v="PO"/>
    <s v="CS552"/>
    <s v="W"/>
    <n v="2818"/>
    <s v="Poznan"/>
    <x v="0"/>
    <x v="9"/>
  </r>
  <r>
    <n v="5115061689"/>
    <s v="SL"/>
    <s v="16892"/>
    <s v="L"/>
    <n v="3144"/>
    <s v="Ruda Slaska"/>
    <x v="0"/>
    <x v="21"/>
  </r>
  <r>
    <n v="3568004264"/>
    <s v="LUB"/>
    <s v="65ED"/>
    <s v="W"/>
    <n v="3060"/>
    <s v="lubelski"/>
    <x v="0"/>
    <x v="16"/>
  </r>
  <r>
    <n v="3470453173"/>
    <s v="LC"/>
    <s v="7897N"/>
    <s v="L"/>
    <n v="1866"/>
    <s v="Chelm"/>
    <x v="0"/>
    <x v="24"/>
  </r>
  <r>
    <n v="2119268767"/>
    <s v="NEB"/>
    <s v="T606"/>
    <s v="W"/>
    <n v="2928"/>
    <s v="elblaski"/>
    <x v="0"/>
    <x v="30"/>
  </r>
  <r>
    <n v="1246489959"/>
    <s v="PO"/>
    <s v="M54EB"/>
    <s v="W"/>
    <n v="2590"/>
    <s v="Poznan"/>
    <x v="0"/>
    <x v="29"/>
  </r>
  <r>
    <n v="4779174699"/>
    <s v="DW"/>
    <s v="3871D"/>
    <s v="L"/>
    <n v="2445"/>
    <s v="Wroclaw"/>
    <x v="0"/>
    <x v="13"/>
  </r>
  <r>
    <n v="4715154852"/>
    <s v="DW"/>
    <s v="579W"/>
    <s v="L"/>
    <n v="2780"/>
    <s v="Wroclaw"/>
    <x v="0"/>
    <x v="14"/>
  </r>
  <r>
    <n v="3568004264"/>
    <s v="LUB"/>
    <s v="61XF"/>
    <s v="L"/>
    <n v="2720"/>
    <s v="lubelski"/>
    <x v="0"/>
    <x v="16"/>
  </r>
  <r>
    <n v="5514533376"/>
    <s v="SB"/>
    <s v="26092"/>
    <s v="W"/>
    <n v="2136"/>
    <s v="Bielsko-Biala"/>
    <x v="0"/>
    <x v="46"/>
  </r>
  <r>
    <n v="5528435390"/>
    <s v="PO"/>
    <s v="A44GU"/>
    <s v="L"/>
    <n v="2328"/>
    <s v="Poznan"/>
    <x v="0"/>
    <x v="47"/>
  </r>
  <r>
    <n v="4779174699"/>
    <s v="DW"/>
    <s v="16842"/>
    <s v="L"/>
    <n v="2920"/>
    <s v="Wroclaw"/>
    <x v="0"/>
    <x v="13"/>
  </r>
  <r>
    <n v="4326751508"/>
    <s v="EL"/>
    <s v="64243"/>
    <s v="W"/>
    <n v="3324"/>
    <s v="Lodz"/>
    <x v="0"/>
    <x v="22"/>
  </r>
  <r>
    <n v="1620242236"/>
    <s v="PN"/>
    <s v="16906"/>
    <s v="L"/>
    <n v="2915"/>
    <s v="Konin"/>
    <x v="1"/>
    <x v="44"/>
  </r>
  <r>
    <n v="6758177505"/>
    <s v="RTA"/>
    <s v="556V"/>
    <s v="W"/>
    <n v="1930"/>
    <s v="tarnobrzeski"/>
    <x v="0"/>
    <x v="6"/>
  </r>
  <r>
    <n v="6727559092"/>
    <s v="RTA"/>
    <s v="246F"/>
    <s v="W"/>
    <n v="2361"/>
    <s v="tarnobrzeski"/>
    <x v="0"/>
    <x v="0"/>
  </r>
  <r>
    <n v="4241680809"/>
    <s v="PO"/>
    <s v="R79LM"/>
    <s v="W"/>
    <n v="1863"/>
    <s v="Poznan"/>
    <x v="0"/>
    <x v="28"/>
  </r>
  <r>
    <n v="4326751508"/>
    <s v="SB"/>
    <s v="48689"/>
    <s v="L"/>
    <n v="2420"/>
    <s v="Bielsko-Biala"/>
    <x v="0"/>
    <x v="22"/>
  </r>
  <r>
    <n v="3470453173"/>
    <s v="LC"/>
    <s v="34572"/>
    <s v="W"/>
    <n v="2625"/>
    <s v="Chelm"/>
    <x v="0"/>
    <x v="24"/>
  </r>
  <r>
    <n v="3579231044"/>
    <s v="LLE"/>
    <s v="G712"/>
    <s v="W"/>
    <n v="2314"/>
    <s v="leczynski"/>
    <x v="0"/>
    <x v="48"/>
  </r>
  <r>
    <n v="2119268767"/>
    <s v="NEB"/>
    <s v="57SX"/>
    <s v="W"/>
    <n v="2340"/>
    <s v="elblaski"/>
    <x v="0"/>
    <x v="30"/>
  </r>
  <r>
    <n v="1620242236"/>
    <s v="PN"/>
    <s v="4101U"/>
    <s v="L"/>
    <n v="2181"/>
    <s v="Konin"/>
    <x v="1"/>
    <x v="44"/>
  </r>
  <r>
    <n v="4326751508"/>
    <s v="SB"/>
    <s v="45356"/>
    <s v="L"/>
    <n v="2800"/>
    <s v="Bielsko-Biala"/>
    <x v="0"/>
    <x v="22"/>
  </r>
  <r>
    <n v="1278408463"/>
    <s v="PKO"/>
    <s v="27LS"/>
    <s v="W"/>
    <n v="2589"/>
    <s v="Konin"/>
    <x v="1"/>
    <x v="35"/>
  </r>
  <r>
    <n v="1939065269"/>
    <s v="PO"/>
    <s v="3931S"/>
    <s v="L"/>
    <n v="2360"/>
    <s v="Poznan"/>
    <x v="0"/>
    <x v="20"/>
  </r>
  <r>
    <n v="3783578981"/>
    <s v="EL"/>
    <s v="28314"/>
    <s v="W"/>
    <n v="2185"/>
    <s v="Lodz"/>
    <x v="0"/>
    <x v="26"/>
  </r>
  <r>
    <n v="4241680809"/>
    <s v="PO"/>
    <s v="RK350"/>
    <s v="L"/>
    <n v="2319"/>
    <s v="Poznan"/>
    <x v="0"/>
    <x v="28"/>
  </r>
  <r>
    <n v="4761158900"/>
    <s v="OKL"/>
    <s v="86463"/>
    <s v="L"/>
    <n v="2208"/>
    <s v="kluczborski"/>
    <x v="0"/>
    <x v="32"/>
  </r>
  <r>
    <n v="3866883575"/>
    <s v="LU"/>
    <s v="3581R"/>
    <s v="W"/>
    <n v="1520"/>
    <s v="Lublin"/>
    <x v="0"/>
    <x v="1"/>
  </r>
  <r>
    <n v="1127056356"/>
    <s v="PKS"/>
    <s v="S566"/>
    <s v="L"/>
    <n v="2050"/>
    <s v="koscianski"/>
    <x v="0"/>
    <x v="33"/>
  </r>
  <r>
    <n v="1620242236"/>
    <s v="PN"/>
    <s v="16904"/>
    <s v="W"/>
    <n v="2336"/>
    <s v="Konin"/>
    <x v="1"/>
    <x v="44"/>
  </r>
  <r>
    <n v="6727559092"/>
    <s v="RTA"/>
    <s v="356J"/>
    <s v="W"/>
    <n v="2034"/>
    <s v="tarnobrzeski"/>
    <x v="0"/>
    <x v="0"/>
  </r>
  <r>
    <n v="3318203338"/>
    <s v="PO"/>
    <s v="LD355"/>
    <s v="W"/>
    <n v="1900"/>
    <s v="Poznan"/>
    <x v="0"/>
    <x v="39"/>
  </r>
  <r>
    <n v="5185759244"/>
    <s v="PO"/>
    <s v="Y30EJ"/>
    <s v="L"/>
    <n v="2277"/>
    <s v="Poznan"/>
    <x v="0"/>
    <x v="43"/>
  </r>
  <r>
    <n v="3866883575"/>
    <s v="LU"/>
    <s v="3571C"/>
    <s v="W"/>
    <n v="2994"/>
    <s v="Lublin"/>
    <x v="0"/>
    <x v="1"/>
  </r>
  <r>
    <n v="6727559092"/>
    <s v="RTA"/>
    <s v="367J"/>
    <s v="W"/>
    <n v="2315"/>
    <s v="tarnobrzeski"/>
    <x v="0"/>
    <x v="0"/>
  </r>
  <r>
    <n v="1165493421"/>
    <s v="PO"/>
    <s v="L74SB"/>
    <s v="W"/>
    <n v="2560"/>
    <s v="Poznan"/>
    <x v="0"/>
    <x v="2"/>
  </r>
  <r>
    <n v="4796841112"/>
    <s v="DOA"/>
    <s v="A682"/>
    <s v="W"/>
    <n v="2391"/>
    <s v="olawski"/>
    <x v="0"/>
    <x v="27"/>
  </r>
  <r>
    <n v="5115061689"/>
    <s v="SL"/>
    <s v="16896"/>
    <s v="W"/>
    <n v="2085"/>
    <s v="Ruda Slaska"/>
    <x v="0"/>
    <x v="21"/>
  </r>
  <r>
    <n v="1599095267"/>
    <s v="PO"/>
    <s v="PK128"/>
    <s v="W"/>
    <n v="2105"/>
    <s v="Poznan"/>
    <x v="0"/>
    <x v="49"/>
  </r>
  <r>
    <n v="3866883575"/>
    <s v="LU"/>
    <s v="16788"/>
    <s v="W"/>
    <n v="1928"/>
    <s v="Lublin"/>
    <x v="0"/>
    <x v="1"/>
  </r>
  <r>
    <n v="4779174699"/>
    <s v="DW"/>
    <s v="3901W"/>
    <s v="L"/>
    <n v="1852"/>
    <s v="Wroclaw"/>
    <x v="0"/>
    <x v="13"/>
  </r>
  <r>
    <n v="3866883575"/>
    <s v="LU"/>
    <s v="16792"/>
    <s v="W"/>
    <n v="2784"/>
    <s v="Lublin"/>
    <x v="0"/>
    <x v="1"/>
  </r>
  <r>
    <n v="4779174699"/>
    <s v="DW"/>
    <s v="3891T"/>
    <s v="W"/>
    <n v="2348"/>
    <s v="Wroclaw"/>
    <x v="0"/>
    <x v="13"/>
  </r>
  <r>
    <n v="3318203338"/>
    <s v="SJ"/>
    <s v="LR356"/>
    <s v="W"/>
    <n v="2305"/>
    <s v="Jaworzno"/>
    <x v="0"/>
    <x v="39"/>
  </r>
  <r>
    <n v="1433397952"/>
    <s v="PN"/>
    <s v="16830"/>
    <s v="L"/>
    <n v="2282"/>
    <s v="Konin"/>
    <x v="1"/>
    <x v="25"/>
  </r>
  <r>
    <n v="4326751508"/>
    <s v="EL"/>
    <s v="59799"/>
    <s v="L"/>
    <n v="2408"/>
    <s v="Lodz"/>
    <x v="0"/>
    <x v="22"/>
  </r>
  <r>
    <n v="3470453173"/>
    <s v="LC"/>
    <s v="34566"/>
    <s v="W"/>
    <n v="1835"/>
    <s v="Chelm"/>
    <x v="0"/>
    <x v="24"/>
  </r>
  <r>
    <n v="3783578981"/>
    <s v="EL"/>
    <s v="28112"/>
    <s v="L"/>
    <n v="1869"/>
    <s v="Lodz"/>
    <x v="0"/>
    <x v="26"/>
  </r>
  <r>
    <n v="3568004264"/>
    <s v="LUB"/>
    <s v="F628"/>
    <s v="W"/>
    <n v="1804"/>
    <s v="lubelski"/>
    <x v="0"/>
    <x v="16"/>
  </r>
  <r>
    <n v="6758177505"/>
    <s v="RTA"/>
    <s v="501V"/>
    <s v="L"/>
    <n v="2990"/>
    <s v="tarnobrzeski"/>
    <x v="0"/>
    <x v="6"/>
  </r>
  <r>
    <n v="5115061689"/>
    <s v="SL"/>
    <s v="16894"/>
    <s v="L"/>
    <n v="2840"/>
    <s v="Ruda Slaska"/>
    <x v="0"/>
    <x v="21"/>
  </r>
  <r>
    <n v="5418968184"/>
    <s v="SJ"/>
    <s v="O62FG"/>
    <s v="W"/>
    <n v="1929"/>
    <s v="Jaworzno"/>
    <x v="0"/>
    <x v="17"/>
  </r>
  <r>
    <n v="2581219876"/>
    <s v="NEB"/>
    <s v="H724"/>
    <s v="L"/>
    <n v="2506"/>
    <s v="elblaski"/>
    <x v="0"/>
    <x v="15"/>
  </r>
  <r>
    <n v="1127056356"/>
    <s v="PKS"/>
    <s v="W570"/>
    <s v="W"/>
    <n v="2924"/>
    <s v="koscianski"/>
    <x v="0"/>
    <x v="33"/>
  </r>
  <r>
    <n v="5528435390"/>
    <s v="SJ"/>
    <s v="A38DW"/>
    <s v="L"/>
    <n v="2283"/>
    <s v="Jaworzno"/>
    <x v="0"/>
    <x v="47"/>
  </r>
  <r>
    <n v="4241680809"/>
    <s v="SJ"/>
    <s v="R78KN"/>
    <s v="L"/>
    <n v="2350"/>
    <s v="Jaworzno"/>
    <x v="0"/>
    <x v="28"/>
  </r>
  <r>
    <n v="2245871126"/>
    <s v="TBU"/>
    <s v="24274"/>
    <s v="L"/>
    <n v="2340"/>
    <s v="buski"/>
    <x v="0"/>
    <x v="40"/>
  </r>
  <r>
    <n v="1620242236"/>
    <s v="PN"/>
    <s v="16900"/>
    <s v="L"/>
    <n v="2368"/>
    <s v="Konin"/>
    <x v="1"/>
    <x v="44"/>
  </r>
  <r>
    <n v="4796841112"/>
    <s v="DOA"/>
    <s v="D684"/>
    <s v="L"/>
    <n v="3336"/>
    <s v="olawski"/>
    <x v="0"/>
    <x v="27"/>
  </r>
  <r>
    <n v="3783578981"/>
    <s v="EL"/>
    <s v="27708"/>
    <s v="L"/>
    <n v="2510"/>
    <s v="Lodz"/>
    <x v="0"/>
    <x v="26"/>
  </r>
  <r>
    <n v="5115061689"/>
    <s v="SRS"/>
    <s v="L668"/>
    <s v="L"/>
    <n v="2358"/>
    <s v="Ruda Slaska"/>
    <x v="0"/>
    <x v="21"/>
  </r>
  <r>
    <n v="6758177505"/>
    <s v="OPO"/>
    <s v="479M"/>
    <s v="L"/>
    <n v="3104"/>
    <s v="opolski"/>
    <x v="0"/>
    <x v="6"/>
  </r>
  <r>
    <n v="2138598159"/>
    <s v="NEL"/>
    <s v="P588"/>
    <s v="L"/>
    <n v="2391"/>
    <s v="elcki"/>
    <x v="0"/>
    <x v="3"/>
  </r>
  <r>
    <n v="1524870307"/>
    <s v="SJ"/>
    <s v="N91XU"/>
    <s v="L"/>
    <n v="2790"/>
    <s v="Jaworzno"/>
    <x v="0"/>
    <x v="38"/>
  </r>
  <r>
    <n v="4796841112"/>
    <s v="DOA"/>
    <s v="L678"/>
    <s v="L"/>
    <n v="1796"/>
    <s v="olawski"/>
    <x v="0"/>
    <x v="27"/>
  </r>
  <r>
    <n v="3470453173"/>
    <s v="LC"/>
    <s v="34574"/>
    <s v="L"/>
    <n v="1790"/>
    <s v="Chelm"/>
    <x v="0"/>
    <x v="24"/>
  </r>
  <r>
    <n v="4761158900"/>
    <s v="OKL"/>
    <s v="87574"/>
    <s v="W"/>
    <n v="2460"/>
    <s v="kluczborski"/>
    <x v="0"/>
    <x v="32"/>
  </r>
  <r>
    <n v="3866883575"/>
    <s v="LU"/>
    <s v="3561B"/>
    <s v="L"/>
    <n v="3300"/>
    <s v="Lublin"/>
    <x v="0"/>
    <x v="1"/>
  </r>
  <r>
    <n v="4326751508"/>
    <s v="EL"/>
    <s v="60910"/>
    <s v="L"/>
    <n v="2365"/>
    <s v="Lodz"/>
    <x v="0"/>
    <x v="22"/>
  </r>
  <r>
    <n v="1278408463"/>
    <s v="PKO"/>
    <s v="N574"/>
    <s v="W"/>
    <n v="3270"/>
    <s v="Konin"/>
    <x v="1"/>
    <x v="35"/>
  </r>
  <r>
    <n v="4326751508"/>
    <s v="EL"/>
    <s v="65354"/>
    <s v="L"/>
    <n v="1835"/>
    <s v="Lodz"/>
    <x v="0"/>
    <x v="22"/>
  </r>
  <r>
    <n v="1581329071"/>
    <s v="SJ"/>
    <s v="E95RH"/>
    <s v="W"/>
    <n v="2320"/>
    <s v="Jaworzno"/>
    <x v="0"/>
    <x v="23"/>
  </r>
  <r>
    <n v="1620242236"/>
    <s v="PN"/>
    <s v="16902"/>
    <s v="L"/>
    <n v="2067"/>
    <s v="Konin"/>
    <x v="1"/>
    <x v="44"/>
  </r>
  <r>
    <n v="2214740049"/>
    <s v="NBR"/>
    <s v="S706"/>
    <s v="L"/>
    <n v="2366"/>
    <s v="braniewski"/>
    <x v="0"/>
    <x v="50"/>
  </r>
  <r>
    <n v="1433397952"/>
    <s v="PN"/>
    <s v="3631H"/>
    <s v="L"/>
    <n v="1990"/>
    <s v="Konin"/>
    <x v="1"/>
    <x v="25"/>
  </r>
  <r>
    <n v="2581219876"/>
    <s v="NEB"/>
    <s v="94MD"/>
    <s v="W"/>
    <n v="2120"/>
    <s v="elblaski"/>
    <x v="0"/>
    <x v="15"/>
  </r>
  <r>
    <n v="3470453173"/>
    <s v="LC"/>
    <s v="34576"/>
    <s v="W"/>
    <n v="1620"/>
    <s v="Chelm"/>
    <x v="0"/>
    <x v="24"/>
  </r>
  <r>
    <n v="4761158900"/>
    <s v="OKL"/>
    <s v="76464"/>
    <s v="L"/>
    <n v="2080"/>
    <s v="kluczborski"/>
    <x v="0"/>
    <x v="32"/>
  </r>
  <r>
    <n v="1820566794"/>
    <s v="PP"/>
    <s v="27102"/>
    <s v="W"/>
    <n v="2658"/>
    <s v="pilski"/>
    <x v="0"/>
    <x v="45"/>
  </r>
  <r>
    <n v="4761158900"/>
    <s v="OKL"/>
    <s v="80908"/>
    <s v="W"/>
    <n v="2582"/>
    <s v="kluczborski"/>
    <x v="0"/>
    <x v="32"/>
  </r>
  <r>
    <n v="1278408463"/>
    <s v="PKO"/>
    <s v="25JE"/>
    <s v="W"/>
    <n v="2852"/>
    <s v="Konin"/>
    <x v="1"/>
    <x v="35"/>
  </r>
  <r>
    <n v="5229945534"/>
    <s v="SJ"/>
    <s v="G40VV"/>
    <s v="L"/>
    <n v="1968"/>
    <s v="Jaworzno"/>
    <x v="0"/>
    <x v="11"/>
  </r>
  <r>
    <n v="3783578981"/>
    <s v="EL"/>
    <s v="28718"/>
    <s v="L"/>
    <n v="3160"/>
    <s v="Lodz"/>
    <x v="0"/>
    <x v="26"/>
  </r>
  <r>
    <n v="4458233905"/>
    <s v="DW"/>
    <s v="45333"/>
    <s v="W"/>
    <n v="2022"/>
    <s v="Wroclaw"/>
    <x v="0"/>
    <x v="37"/>
  </r>
  <r>
    <n v="1871447797"/>
    <s v="SJ"/>
    <s v="O54JT"/>
    <s v="L"/>
    <n v="2350"/>
    <s v="Jaworzno"/>
    <x v="0"/>
    <x v="51"/>
  </r>
  <r>
    <n v="4761158900"/>
    <s v="OKL"/>
    <s v="82019"/>
    <s v="W"/>
    <n v="2468"/>
    <s v="kluczborski"/>
    <x v="0"/>
    <x v="32"/>
  </r>
  <r>
    <n v="2581219876"/>
    <s v="NEB"/>
    <s v="6C31"/>
    <s v="L"/>
    <n v="2610"/>
    <s v="elblaski"/>
    <x v="0"/>
    <x v="15"/>
  </r>
  <r>
    <n v="4580185570"/>
    <s v="SJ"/>
    <s v="JJ547"/>
    <s v="W"/>
    <n v="3204"/>
    <s v="Jaworzno"/>
    <x v="0"/>
    <x v="52"/>
  </r>
  <r>
    <n v="1599095267"/>
    <s v="SJ"/>
    <s v="PP132"/>
    <s v="W"/>
    <n v="2516"/>
    <s v="Jaworzno"/>
    <x v="0"/>
    <x v="49"/>
  </r>
  <r>
    <n v="3357631311"/>
    <s v="LZA"/>
    <s v="V638"/>
    <s v="W"/>
    <n v="1792"/>
    <s v="zamojski"/>
    <x v="0"/>
    <x v="53"/>
  </r>
  <r>
    <n v="4241680809"/>
    <s v="SO"/>
    <s v="RH348"/>
    <s v="L"/>
    <n v="2885"/>
    <s v="Sosnowiec"/>
    <x v="0"/>
    <x v="28"/>
  </r>
  <r>
    <n v="2281651150"/>
    <s v="NOL"/>
    <s v="16LG"/>
    <s v="W"/>
    <n v="2550"/>
    <s v="olsztynski"/>
    <x v="0"/>
    <x v="41"/>
  </r>
  <r>
    <n v="4779174699"/>
    <s v="DW"/>
    <s v="3881E"/>
    <s v="L"/>
    <n v="2362"/>
    <s v="Wroclaw"/>
    <x v="0"/>
    <x v="13"/>
  </r>
  <r>
    <n v="5624201652"/>
    <s v="STA"/>
    <s v="97AK"/>
    <s v="L"/>
    <n v="3216"/>
    <s v="tarnogorski"/>
    <x v="0"/>
    <x v="54"/>
  </r>
  <r>
    <n v="3866883575"/>
    <s v="LU"/>
    <s v="16798"/>
    <s v="W"/>
    <n v="2034"/>
    <s v="Lublin"/>
    <x v="0"/>
    <x v="1"/>
  </r>
  <r>
    <n v="4796841112"/>
    <s v="DOA"/>
    <s v="K674"/>
    <s v="W"/>
    <n v="1885"/>
    <s v="olawski"/>
    <x v="0"/>
    <x v="27"/>
  </r>
  <r>
    <n v="5341884086"/>
    <s v="SO"/>
    <s v="SB135"/>
    <s v="W"/>
    <n v="2490"/>
    <s v="Sosnowiec"/>
    <x v="0"/>
    <x v="19"/>
  </r>
  <r>
    <n v="4779174699"/>
    <s v="DW"/>
    <s v="3831W"/>
    <s v="L"/>
    <n v="2580"/>
    <s v="Wroclaw"/>
    <x v="0"/>
    <x v="13"/>
  </r>
  <r>
    <n v="5514533376"/>
    <s v="SB"/>
    <s v="26698"/>
    <s v="L"/>
    <n v="2634"/>
    <s v="Bielsko-Biala"/>
    <x v="0"/>
    <x v="46"/>
  </r>
  <r>
    <n v="3470453173"/>
    <s v="LC"/>
    <s v="7901K"/>
    <s v="W"/>
    <n v="2584"/>
    <s v="Chelm"/>
    <x v="0"/>
    <x v="24"/>
  </r>
  <r>
    <n v="4796841112"/>
    <s v="DOA"/>
    <s v="U676"/>
    <s v="L"/>
    <n v="2576"/>
    <s v="olawski"/>
    <x v="0"/>
    <x v="27"/>
  </r>
  <r>
    <n v="5266741491"/>
    <s v="SO"/>
    <s v="P44AB"/>
    <s v="W"/>
    <n v="1946"/>
    <s v="Sosnowiec"/>
    <x v="0"/>
    <x v="42"/>
  </r>
  <r>
    <n v="4715154852"/>
    <s v="DW"/>
    <s v="23613"/>
    <s v="L"/>
    <n v="2880"/>
    <s v="Wroclaw"/>
    <x v="0"/>
    <x v="14"/>
  </r>
  <r>
    <n v="5418968184"/>
    <s v="SO"/>
    <s v="O64VB"/>
    <s v="L"/>
    <n v="2630"/>
    <s v="Sosnowiec"/>
    <x v="0"/>
    <x v="17"/>
  </r>
  <r>
    <n v="1599095267"/>
    <s v="SO"/>
    <s v="PL129"/>
    <s v="W"/>
    <n v="2112"/>
    <s v="Sosnowiec"/>
    <x v="0"/>
    <x v="49"/>
  </r>
  <r>
    <n v="1433397952"/>
    <s v="PN"/>
    <s v="3621I"/>
    <s v="L"/>
    <n v="2928"/>
    <s v="Konin"/>
    <x v="1"/>
    <x v="25"/>
  </r>
  <r>
    <n v="2281651150"/>
    <s v="NOL"/>
    <s v="N650"/>
    <s v="W"/>
    <n v="2295"/>
    <s v="olsztynski"/>
    <x v="0"/>
    <x v="41"/>
  </r>
  <r>
    <n v="5341884086"/>
    <s v="SO"/>
    <s v="S34YB"/>
    <s v="L"/>
    <n v="2556"/>
    <s v="Sosnowiec"/>
    <x v="0"/>
    <x v="19"/>
  </r>
  <r>
    <n v="3568004264"/>
    <s v="LUB"/>
    <s v="Z620"/>
    <s v="L"/>
    <n v="2568"/>
    <s v="lubelski"/>
    <x v="0"/>
    <x v="16"/>
  </r>
  <r>
    <n v="5185759244"/>
    <s v="SO"/>
    <s v="Y28XU"/>
    <s v="L"/>
    <n v="2674"/>
    <s v="Sosnowiec"/>
    <x v="0"/>
    <x v="43"/>
  </r>
  <r>
    <n v="4326751508"/>
    <s v="SB"/>
    <s v="47578"/>
    <s v="L"/>
    <n v="3120"/>
    <s v="Bielsko-Biala"/>
    <x v="0"/>
    <x v="22"/>
  </r>
  <r>
    <n v="1433397952"/>
    <s v="PN"/>
    <s v="16834"/>
    <s v="W"/>
    <n v="1896"/>
    <s v="Konin"/>
    <x v="1"/>
    <x v="25"/>
  </r>
  <r>
    <n v="4779174699"/>
    <s v="DW"/>
    <s v="16844"/>
    <s v="W"/>
    <n v="2608"/>
    <s v="Wroclaw"/>
    <x v="0"/>
    <x v="13"/>
  </r>
  <r>
    <n v="3678947206"/>
    <s v="ONY"/>
    <s v="1267"/>
    <s v="W"/>
    <n v="2154"/>
    <s v="nyski"/>
    <x v="0"/>
    <x v="55"/>
  </r>
  <r>
    <n v="1939065269"/>
    <s v="PO"/>
    <s v="16882"/>
    <s v="L"/>
    <n v="2328"/>
    <s v="Poznan"/>
    <x v="0"/>
    <x v="20"/>
  </r>
  <r>
    <n v="5514533376"/>
    <s v="DJE"/>
    <s v="25688"/>
    <s v="L"/>
    <n v="2548"/>
    <s v="jeleniogorski"/>
    <x v="0"/>
    <x v="46"/>
  </r>
  <r>
    <n v="5115061689"/>
    <s v="SRS"/>
    <s v="J666"/>
    <s v="W"/>
    <n v="1902"/>
    <s v="Ruda Slaska"/>
    <x v="0"/>
    <x v="21"/>
  </r>
  <r>
    <n v="4326751508"/>
    <s v="DJE"/>
    <s v="52022"/>
    <s v="L"/>
    <n v="2456"/>
    <s v="jeleniogorski"/>
    <x v="0"/>
    <x v="22"/>
  </r>
  <r>
    <n v="1278408463"/>
    <s v="PKO"/>
    <s v="94RF"/>
    <s v="W"/>
    <n v="2544"/>
    <s v="Konin"/>
    <x v="1"/>
    <x v="35"/>
  </r>
  <r>
    <n v="5528435390"/>
    <s v="SO"/>
    <s v="A40FT"/>
    <s v="L"/>
    <n v="3495"/>
    <s v="Sosnowiec"/>
    <x v="0"/>
    <x v="47"/>
  </r>
  <r>
    <n v="2138598159"/>
    <s v="NEL"/>
    <s v="B596"/>
    <s v="L"/>
    <n v="2550"/>
    <s v="elcki"/>
    <x v="0"/>
    <x v="3"/>
  </r>
  <r>
    <n v="1599095267"/>
    <s v="SO"/>
    <s v="PW131"/>
    <s v="W"/>
    <n v="2448"/>
    <s v="Sosnowiec"/>
    <x v="0"/>
    <x v="49"/>
  </r>
  <r>
    <n v="5341884086"/>
    <s v="SO"/>
    <s v="SX136"/>
    <s v="L"/>
    <n v="3645"/>
    <s v="Sosnowiec"/>
    <x v="0"/>
    <x v="19"/>
  </r>
  <r>
    <n v="1433397952"/>
    <s v="PN"/>
    <s v="16822"/>
    <s v="W"/>
    <n v="2935"/>
    <s v="Konin"/>
    <x v="1"/>
    <x v="25"/>
  </r>
  <r>
    <n v="2138598159"/>
    <s v="NEL"/>
    <s v="I594"/>
    <s v="W"/>
    <n v="2834"/>
    <s v="elcki"/>
    <x v="0"/>
    <x v="3"/>
  </r>
  <r>
    <n v="2625657803"/>
    <s v="SO"/>
    <s v="U50HG"/>
    <s v="W"/>
    <n v="1624"/>
    <s v="Sosnowiec"/>
    <x v="0"/>
    <x v="5"/>
  </r>
  <r>
    <n v="1939065269"/>
    <s v="PO"/>
    <s v="3951A"/>
    <s v="L"/>
    <n v="2574"/>
    <s v="Poznan"/>
    <x v="0"/>
    <x v="20"/>
  </r>
  <r>
    <n v="4326751508"/>
    <s v="DJE"/>
    <s v="54244"/>
    <s v="W"/>
    <n v="1806"/>
    <s v="jeleniogorski"/>
    <x v="0"/>
    <x v="22"/>
  </r>
  <r>
    <n v="2138598159"/>
    <s v="NEL"/>
    <s v="H592"/>
    <s v="W"/>
    <n v="3204"/>
    <s v="elcki"/>
    <x v="0"/>
    <x v="3"/>
  </r>
  <r>
    <n v="4779174699"/>
    <s v="DW"/>
    <s v="3861S"/>
    <s v="W"/>
    <n v="1618"/>
    <s v="Wroclaw"/>
    <x v="0"/>
    <x v="13"/>
  </r>
  <r>
    <n v="3568004264"/>
    <s v="LUB"/>
    <s v="X626"/>
    <s v="W"/>
    <n v="2720"/>
    <s v="lubelski"/>
    <x v="0"/>
    <x v="16"/>
  </r>
  <r>
    <n v="5115061689"/>
    <s v="SRS"/>
    <s v="18IT"/>
    <s v="W"/>
    <n v="3192"/>
    <s v="Ruda Slaska"/>
    <x v="0"/>
    <x v="21"/>
  </r>
  <r>
    <n v="1361555378"/>
    <s v="SZ"/>
    <s v="WS237"/>
    <s v="W"/>
    <n v="2559"/>
    <s v="Zabrze"/>
    <x v="0"/>
    <x v="34"/>
  </r>
  <r>
    <n v="3866883575"/>
    <s v="LU"/>
    <s v="16796"/>
    <s v="L"/>
    <n v="2145"/>
    <s v="Lublin"/>
    <x v="0"/>
    <x v="1"/>
  </r>
  <r>
    <n v="4761158900"/>
    <s v="OKL"/>
    <s v="73131"/>
    <s v="L"/>
    <n v="2674"/>
    <s v="kluczborski"/>
    <x v="0"/>
    <x v="32"/>
  </r>
  <r>
    <n v="4779174699"/>
    <s v="DW"/>
    <s v="16846"/>
    <s v="L"/>
    <n v="2192"/>
    <s v="Wroclaw"/>
    <x v="0"/>
    <x v="13"/>
  </r>
  <r>
    <n v="6727559092"/>
    <s v="OPO"/>
    <s v="345G"/>
    <s v="L"/>
    <n v="2480"/>
    <s v="opolski"/>
    <x v="0"/>
    <x v="0"/>
  </r>
  <r>
    <n v="4761158900"/>
    <s v="BIA"/>
    <s v="78686"/>
    <s v="W"/>
    <n v="2578"/>
    <s v="bialostocki"/>
    <x v="0"/>
    <x v="32"/>
  </r>
  <r>
    <n v="4761158900"/>
    <s v="BIA"/>
    <s v="77575"/>
    <s v="W"/>
    <n v="1774"/>
    <s v="bialostocki"/>
    <x v="0"/>
    <x v="32"/>
  </r>
  <r>
    <n v="2394072755"/>
    <s v="SZ"/>
    <s v="EU125"/>
    <s v="W"/>
    <n v="750"/>
    <s v="Zabrze"/>
    <x v="0"/>
    <x v="56"/>
  </r>
  <r>
    <n v="1939065269"/>
    <s v="PO"/>
    <s v="16888"/>
    <s v="L"/>
    <n v="2562"/>
    <s v="Poznan"/>
    <x v="0"/>
    <x v="20"/>
  </r>
  <r>
    <n v="3114182744"/>
    <s v="SZ"/>
    <s v="S97VV"/>
    <s v="L"/>
    <n v="1959"/>
    <s v="Zabrze"/>
    <x v="0"/>
    <x v="36"/>
  </r>
  <r>
    <n v="4326751508"/>
    <s v="EL"/>
    <s v="62021"/>
    <s v="L"/>
    <n v="2624"/>
    <s v="Lodz"/>
    <x v="0"/>
    <x v="22"/>
  </r>
  <r>
    <n v="4326751508"/>
    <s v="DJE"/>
    <s v="50911"/>
    <s v="W"/>
    <n v="2760"/>
    <s v="jeleniogorski"/>
    <x v="0"/>
    <x v="22"/>
  </r>
  <r>
    <n v="3568004264"/>
    <s v="LUB"/>
    <s v="D622"/>
    <s v="L"/>
    <n v="2404"/>
    <s v="lubelski"/>
    <x v="0"/>
    <x v="16"/>
  </r>
  <r>
    <n v="1278408463"/>
    <s v="PN"/>
    <s v="16780"/>
    <s v="L"/>
    <n v="2328"/>
    <s v="Konin"/>
    <x v="1"/>
    <x v="35"/>
  </r>
  <r>
    <n v="5185759244"/>
    <s v="SZ"/>
    <s v="Y26SL"/>
    <s v="W"/>
    <n v="2610"/>
    <s v="Zabrze"/>
    <x v="0"/>
    <x v="43"/>
  </r>
  <r>
    <n v="4761158900"/>
    <s v="BIA"/>
    <s v="75353"/>
    <s v="L"/>
    <n v="2010"/>
    <s v="bialostocki"/>
    <x v="0"/>
    <x v="32"/>
  </r>
  <r>
    <n v="4326751508"/>
    <s v="PL"/>
    <s v="68687"/>
    <s v="L"/>
    <n v="2196"/>
    <s v="Leszno"/>
    <x v="0"/>
    <x v="22"/>
  </r>
  <r>
    <n v="6758177505"/>
    <s v="OPO"/>
    <s v="523S"/>
    <s v="W"/>
    <n v="2095"/>
    <s v="opolski"/>
    <x v="0"/>
    <x v="6"/>
  </r>
  <r>
    <n v="1617995032"/>
    <s v="PTU"/>
    <s v="J688"/>
    <s v="L"/>
    <n v="1899"/>
    <s v="turecki"/>
    <x v="0"/>
    <x v="4"/>
  </r>
  <r>
    <n v="1433397952"/>
    <s v="PN"/>
    <s v="3651R"/>
    <s v="W"/>
    <n v="2180"/>
    <s v="Konin"/>
    <x v="1"/>
    <x v="25"/>
  </r>
  <r>
    <n v="5115061689"/>
    <s v="SRS"/>
    <s v="G664"/>
    <s v="W"/>
    <n v="1864"/>
    <s v="Ruda Slaska"/>
    <x v="0"/>
    <x v="21"/>
  </r>
  <r>
    <n v="4761158900"/>
    <s v="BIA"/>
    <s v="84241"/>
    <s v="W"/>
    <n v="2172"/>
    <s v="bialostocki"/>
    <x v="0"/>
    <x v="32"/>
  </r>
  <r>
    <n v="4761158900"/>
    <s v="BIA"/>
    <s v="85352"/>
    <s v="L"/>
    <n v="1950"/>
    <s v="bialostocki"/>
    <x v="0"/>
    <x v="32"/>
  </r>
  <r>
    <n v="2119268767"/>
    <s v="NEB"/>
    <s v="V602"/>
    <s v="W"/>
    <n v="2115"/>
    <s v="elblaski"/>
    <x v="0"/>
    <x v="30"/>
  </r>
  <r>
    <n v="3866883575"/>
    <s v="LU"/>
    <s v="16790"/>
    <s v="W"/>
    <n v="2457"/>
    <s v="Lublin"/>
    <x v="0"/>
    <x v="1"/>
  </r>
  <r>
    <n v="2394072755"/>
    <s v="SZ"/>
    <s v="ET124"/>
    <s v="W"/>
    <n v="2792"/>
    <s v="Zabrze"/>
    <x v="0"/>
    <x v="56"/>
  </r>
  <r>
    <n v="6758177505"/>
    <s v="OPO"/>
    <s v="567K"/>
    <s v="W"/>
    <n v="2915"/>
    <s v="opolski"/>
    <x v="0"/>
    <x v="6"/>
  </r>
  <r>
    <n v="4326751508"/>
    <s v="PL"/>
    <s v="63132"/>
    <s v="L"/>
    <n v="1515"/>
    <s v="Leszno"/>
    <x v="0"/>
    <x v="22"/>
  </r>
  <r>
    <n v="2394072755"/>
    <s v="SZ"/>
    <s v="EU126"/>
    <s v="W"/>
    <n v="2330"/>
    <s v="Zabrze"/>
    <x v="0"/>
    <x v="56"/>
  </r>
  <r>
    <n v="4326751508"/>
    <s v="PL"/>
    <s v="66465"/>
    <s v="L"/>
    <n v="2245"/>
    <s v="Leszno"/>
    <x v="0"/>
    <x v="22"/>
  </r>
  <r>
    <n v="5341884086"/>
    <s v="SZ"/>
    <s v="S45UV"/>
    <s v="L"/>
    <n v="2880"/>
    <s v="Zabrze"/>
    <x v="0"/>
    <x v="19"/>
  </r>
  <r>
    <n v="1581329071"/>
    <s v="SZ"/>
    <s v="E94CB"/>
    <s v="L"/>
    <n v="2270"/>
    <s v="Zabrze"/>
    <x v="0"/>
    <x v="23"/>
  </r>
  <r>
    <n v="5341884086"/>
    <s v="SZ"/>
    <s v="SD137"/>
    <s v="L"/>
    <n v="2748"/>
    <s v="Zabrze"/>
    <x v="0"/>
    <x v="19"/>
  </r>
  <r>
    <n v="4241680809"/>
    <s v="SZ"/>
    <s v="R80LN"/>
    <s v="W"/>
    <n v="1995"/>
    <s v="Zabrze"/>
    <x v="0"/>
    <x v="28"/>
  </r>
  <r>
    <n v="5229945534"/>
    <s v="SZ"/>
    <s v="G36RH"/>
    <s v="L"/>
    <n v="3276"/>
    <s v="Zabrze"/>
    <x v="0"/>
    <x v="11"/>
  </r>
  <r>
    <n v="2281651150"/>
    <s v="NOL"/>
    <s v="99KC"/>
    <s v="L"/>
    <n v="1622"/>
    <s v="olsztynski"/>
    <x v="0"/>
    <x v="41"/>
  </r>
  <r>
    <n v="6727559092"/>
    <s v="OPO"/>
    <s v="378G"/>
    <s v="W"/>
    <n v="2208"/>
    <s v="opolski"/>
    <x v="0"/>
    <x v="0"/>
  </r>
  <r>
    <n v="3678947206"/>
    <s v="ONY"/>
    <s v="1278"/>
    <s v="L"/>
    <n v="2065"/>
    <s v="nyski"/>
    <x v="0"/>
    <x v="55"/>
  </r>
  <r>
    <n v="2119268767"/>
    <s v="NEB"/>
    <s v="T600"/>
    <s v="W"/>
    <n v="1772"/>
    <s v="elblaski"/>
    <x v="0"/>
    <x v="30"/>
  </r>
  <r>
    <n v="3568004264"/>
    <s v="LUB"/>
    <s v="63AR"/>
    <s v="W"/>
    <n v="2175"/>
    <s v="lubelski"/>
    <x v="0"/>
    <x v="16"/>
  </r>
  <r>
    <n v="4326751508"/>
    <s v="DJE"/>
    <s v="53133"/>
    <s v="W"/>
    <n v="2958"/>
    <s v="jeleniogorski"/>
    <x v="0"/>
    <x v="22"/>
  </r>
  <r>
    <n v="4796841112"/>
    <s v="DOA"/>
    <s v="I680"/>
    <s v="L"/>
    <n v="2792"/>
    <s v="olawski"/>
    <x v="0"/>
    <x v="27"/>
  </r>
  <r>
    <n v="2138598159"/>
    <s v="NEL"/>
    <s v="M590"/>
    <s v="L"/>
    <n v="2049"/>
    <s v="elcki"/>
    <x v="0"/>
    <x v="3"/>
  </r>
  <r>
    <n v="1617995032"/>
    <s v="PTU"/>
    <s v="5F12"/>
    <s v="W"/>
    <n v="1946"/>
    <s v="turecki"/>
    <x v="0"/>
    <x v="4"/>
  </r>
  <r>
    <n v="1278408463"/>
    <s v="PKO"/>
    <s v="F572"/>
    <s v="L"/>
    <n v="2722"/>
    <s v="Konin"/>
    <x v="1"/>
    <x v="35"/>
  </r>
  <r>
    <n v="3345883725"/>
    <s v="LUB"/>
    <s v="J742"/>
    <s v="W"/>
    <n v="2344"/>
    <s v="lubelski"/>
    <x v="0"/>
    <x v="57"/>
  </r>
  <r>
    <n v="5528435390"/>
    <s v="SZ"/>
    <s v="A42FY"/>
    <s v="W"/>
    <n v="2465"/>
    <s v="Zabrze"/>
    <x v="0"/>
    <x v="47"/>
  </r>
  <r>
    <n v="3783578981"/>
    <s v="PL"/>
    <s v="27910"/>
    <s v="W"/>
    <n v="2174"/>
    <s v="Leszno"/>
    <x v="0"/>
    <x v="26"/>
  </r>
  <r>
    <n v="4761158900"/>
    <s v="BIA"/>
    <s v="79797"/>
    <s v="L"/>
    <n v="1812"/>
    <s v="bialostocki"/>
    <x v="0"/>
    <x v="32"/>
  </r>
  <r>
    <n v="4715154852"/>
    <s v="DW"/>
    <s v="601H"/>
    <s v="L"/>
    <n v="2800"/>
    <s v="Wroclaw"/>
    <x v="0"/>
    <x v="14"/>
  </r>
  <r>
    <n v="2581219876"/>
    <s v="NEB"/>
    <s v="U728"/>
    <s v="W"/>
    <n v="2478"/>
    <s v="elblaski"/>
    <x v="0"/>
    <x v="15"/>
  </r>
  <r>
    <n v="2245871126"/>
    <s v="TBU"/>
    <s v="23870"/>
    <s v="L"/>
    <n v="2562"/>
    <s v="buski"/>
    <x v="0"/>
    <x v="40"/>
  </r>
  <r>
    <n v="6727559092"/>
    <s v="OPO"/>
    <s v="268H"/>
    <s v="W"/>
    <n v="980"/>
    <s v="opolski"/>
    <x v="0"/>
    <x v="0"/>
  </r>
  <r>
    <n v="1361555378"/>
    <s v="SZ"/>
    <s v="WB235"/>
    <s v="W"/>
    <n v="2325"/>
    <s v="Zabrze"/>
    <x v="0"/>
    <x v="34"/>
  </r>
  <r>
    <n v="5418968184"/>
    <s v="SZ"/>
    <s v="O58CY"/>
    <s v="W"/>
    <n v="1830"/>
    <s v="Zabrze"/>
    <x v="0"/>
    <x v="17"/>
  </r>
  <r>
    <n v="1165493421"/>
    <s v="SZ"/>
    <s v="L72WG"/>
    <s v="L"/>
    <n v="3122"/>
    <s v="Zabrze"/>
    <x v="0"/>
    <x v="2"/>
  </r>
  <r>
    <n v="1433397952"/>
    <s v="PN"/>
    <s v="16828"/>
    <s v="L"/>
    <n v="2660"/>
    <s v="Konin"/>
    <x v="1"/>
    <x v="25"/>
  </r>
  <r>
    <n v="6727559092"/>
    <s v="STA"/>
    <s v="334F"/>
    <s v="L"/>
    <n v="2822"/>
    <s v="tarnogorski"/>
    <x v="0"/>
    <x v="0"/>
  </r>
  <r>
    <n v="5514533376"/>
    <s v="DJE"/>
    <s v="25890"/>
    <s v="L"/>
    <n v="2895"/>
    <s v="jeleniogorski"/>
    <x v="0"/>
    <x v="46"/>
  </r>
  <r>
    <n v="3866883575"/>
    <s v="LU"/>
    <s v="3601Y"/>
    <s v="L"/>
    <n v="2638"/>
    <s v="Lublin"/>
    <x v="0"/>
    <x v="1"/>
  </r>
  <r>
    <n v="1433397952"/>
    <s v="PN"/>
    <s v="3641B"/>
    <s v="L"/>
    <n v="2018"/>
    <s v="Konin"/>
    <x v="1"/>
    <x v="25"/>
  </r>
  <r>
    <n v="4779174699"/>
    <s v="DW"/>
    <s v="16848"/>
    <s v="L"/>
    <n v="1600"/>
    <s v="Wroclaw"/>
    <x v="0"/>
    <x v="13"/>
  </r>
  <r>
    <n v="4326751508"/>
    <s v="PL"/>
    <s v="67576"/>
    <s v="L"/>
    <n v="1800"/>
    <s v="Leszno"/>
    <x v="0"/>
    <x v="22"/>
  </r>
  <r>
    <n v="4761158900"/>
    <s v="BIA"/>
    <s v="72020"/>
    <s v="L"/>
    <n v="3144"/>
    <s v="bialostocki"/>
    <x v="0"/>
    <x v="32"/>
  </r>
  <r>
    <n v="2119268767"/>
    <s v="NEB"/>
    <s v="D604"/>
    <s v="L"/>
    <n v="1740"/>
    <s v="elblaski"/>
    <x v="0"/>
    <x v="30"/>
  </r>
  <r>
    <n v="2581219876"/>
    <s v="NEB"/>
    <s v="Y726"/>
    <s v="L"/>
    <n v="2490"/>
    <s v="elblaski"/>
    <x v="0"/>
    <x v="15"/>
  </r>
  <r>
    <n v="2281651150"/>
    <s v="NOL"/>
    <s v="Y648"/>
    <s v="W"/>
    <n v="2170"/>
    <s v="olsztynski"/>
    <x v="0"/>
    <x v="41"/>
  </r>
  <r>
    <n v="1599095267"/>
    <s v="SZ"/>
    <s v="PR133"/>
    <s v="L"/>
    <n v="2238"/>
    <s v="Zabrze"/>
    <x v="0"/>
    <x v="49"/>
  </r>
  <r>
    <n v="3783578981"/>
    <s v="PL"/>
    <s v="28516"/>
    <s v="W"/>
    <n v="2642"/>
    <s v="Leszno"/>
    <x v="0"/>
    <x v="26"/>
  </r>
  <r>
    <n v="4779174699"/>
    <s v="DW"/>
    <s v="16850"/>
    <s v="L"/>
    <n v="1575"/>
    <s v="Wroclaw"/>
    <x v="0"/>
    <x v="13"/>
  </r>
  <r>
    <n v="4580185570"/>
    <s v="SZ"/>
    <s v="JG549"/>
    <s v="L"/>
    <n v="1623"/>
    <s v="Zabrze"/>
    <x v="0"/>
    <x v="52"/>
  </r>
  <r>
    <n v="6727559092"/>
    <s v="STA"/>
    <s v="290G"/>
    <s v="W"/>
    <n v="2550"/>
    <s v="tarnogorski"/>
    <x v="0"/>
    <x v="0"/>
  </r>
  <r>
    <n v="6727559092"/>
    <s v="STA"/>
    <s v="312W"/>
    <s v="L"/>
    <n v="2384"/>
    <s v="tarnogorski"/>
    <x v="0"/>
    <x v="0"/>
  </r>
  <r>
    <n v="5418968184"/>
    <s v="SR"/>
    <s v="O66QH"/>
    <s v="W"/>
    <n v="2364"/>
    <s v="Rybnik"/>
    <x v="0"/>
    <x v="17"/>
  </r>
  <r>
    <n v="5514533376"/>
    <s v="DJE"/>
    <s v="26496"/>
    <s v="L"/>
    <n v="2642"/>
    <s v="jeleniogorski"/>
    <x v="0"/>
    <x v="46"/>
  </r>
  <r>
    <n v="3579231044"/>
    <s v="LLE"/>
    <s v="R714"/>
    <s v="L"/>
    <n v="3002"/>
    <s v="leczynski"/>
    <x v="0"/>
    <x v="48"/>
  </r>
  <r>
    <n v="4458233905"/>
    <s v="DW"/>
    <s v="56456"/>
    <s v="L"/>
    <n v="3128"/>
    <s v="Wroclaw"/>
    <x v="0"/>
    <x v="37"/>
  </r>
  <r>
    <n v="1939065269"/>
    <s v="PO"/>
    <s v="16884"/>
    <s v="W"/>
    <n v="1980"/>
    <s v="Poznan"/>
    <x v="0"/>
    <x v="20"/>
  </r>
  <r>
    <n v="3345883725"/>
    <s v="LUB"/>
    <s v="I740"/>
    <s v="W"/>
    <n v="2784"/>
    <s v="lubelski"/>
    <x v="0"/>
    <x v="57"/>
  </r>
  <r>
    <n v="3357631311"/>
    <s v="LZA"/>
    <s v="T642"/>
    <s v="L"/>
    <n v="2014"/>
    <s v="zamojski"/>
    <x v="0"/>
    <x v="53"/>
  </r>
  <r>
    <n v="2869229213"/>
    <s v="SR"/>
    <s v="K34AW"/>
    <s v="W"/>
    <n v="1280"/>
    <s v="Rybnik"/>
    <x v="0"/>
    <x v="58"/>
  </r>
  <r>
    <n v="1599095267"/>
    <s v="SR"/>
    <s v="PS130"/>
    <s v="W"/>
    <n v="2796"/>
    <s v="Rybnik"/>
    <x v="0"/>
    <x v="49"/>
  </r>
  <r>
    <n v="3678947206"/>
    <s v="ONY"/>
    <s v="1289"/>
    <s v="W"/>
    <n v="2475"/>
    <s v="nyski"/>
    <x v="0"/>
    <x v="55"/>
  </r>
  <r>
    <n v="2245871126"/>
    <s v="TBU"/>
    <s v="23668"/>
    <s v="W"/>
    <n v="1806"/>
    <s v="buski"/>
    <x v="0"/>
    <x v="40"/>
  </r>
  <r>
    <n v="5115061689"/>
    <s v="SRS"/>
    <s v="20AF"/>
    <s v="W"/>
    <n v="2595"/>
    <s v="Ruda Slaska"/>
    <x v="0"/>
    <x v="21"/>
  </r>
  <r>
    <n v="1620242236"/>
    <s v="PN"/>
    <s v="4121F"/>
    <s v="L"/>
    <n v="2836"/>
    <s v="Konin"/>
    <x v="1"/>
    <x v="44"/>
  </r>
  <r>
    <n v="3318203338"/>
    <s v="SR"/>
    <s v="L45QM"/>
    <s v="W"/>
    <n v="2349"/>
    <s v="Rybnik"/>
    <x v="0"/>
    <x v="39"/>
  </r>
  <r>
    <n v="3357631311"/>
    <s v="LZA"/>
    <s v="H640"/>
    <s v="W"/>
    <n v="2870"/>
    <s v="zamojski"/>
    <x v="0"/>
    <x v="53"/>
  </r>
  <r>
    <n v="4580185570"/>
    <s v="SR"/>
    <s v="JH548"/>
    <s v="W"/>
    <n v="2616"/>
    <s v="Rybnik"/>
    <x v="0"/>
    <x v="52"/>
  </r>
  <r>
    <n v="6758177505"/>
    <s v="STA"/>
    <s v="534U"/>
    <s v="L"/>
    <n v="2523"/>
    <s v="tarnogorski"/>
    <x v="0"/>
    <x v="6"/>
  </r>
  <r>
    <n v="3568004264"/>
    <s v="LUB"/>
    <s v="G634"/>
    <s v="L"/>
    <n v="2060"/>
    <s v="lubelski"/>
    <x v="0"/>
    <x v="16"/>
  </r>
  <r>
    <n v="3470453173"/>
    <s v="LC"/>
    <s v="7891Q"/>
    <s v="W"/>
    <n v="2151"/>
    <s v="Chelm"/>
    <x v="0"/>
    <x v="24"/>
  </r>
  <r>
    <n v="3866883575"/>
    <s v="LU"/>
    <s v="3591T"/>
    <s v="W"/>
    <n v="2818"/>
    <s v="Lublin"/>
    <x v="0"/>
    <x v="1"/>
  </r>
  <r>
    <n v="1433397952"/>
    <s v="PN"/>
    <s v="3661T"/>
    <s v="W"/>
    <n v="1851"/>
    <s v="Konin"/>
    <x v="1"/>
    <x v="25"/>
  </r>
  <r>
    <n v="3470453173"/>
    <s v="LC"/>
    <s v="7899B"/>
    <s v="L"/>
    <n v="2062"/>
    <s v="Chelm"/>
    <x v="0"/>
    <x v="24"/>
  </r>
  <r>
    <n v="6758177505"/>
    <s v="STA"/>
    <s v="457K"/>
    <s v="W"/>
    <n v="2258"/>
    <s v="tarnogorski"/>
    <x v="0"/>
    <x v="6"/>
  </r>
  <r>
    <n v="5266741491"/>
    <s v="SR"/>
    <s v="P46ZH"/>
    <s v="W"/>
    <n v="1774"/>
    <s v="Rybnik"/>
    <x v="0"/>
    <x v="42"/>
  </r>
  <r>
    <n v="2214740049"/>
    <s v="NBR"/>
    <s v="X708"/>
    <s v="W"/>
    <n v="2066"/>
    <s v="braniewski"/>
    <x v="0"/>
    <x v="50"/>
  </r>
  <r>
    <n v="1433397952"/>
    <s v="PN"/>
    <s v="16826"/>
    <s v="W"/>
    <n v="1626"/>
    <s v="Konin"/>
    <x v="1"/>
    <x v="25"/>
  </r>
  <r>
    <n v="4326751508"/>
    <s v="DJE"/>
    <s v="46467"/>
    <s v="W"/>
    <n v="1601"/>
    <s v="jeleniogorski"/>
    <x v="0"/>
    <x v="22"/>
  </r>
  <r>
    <n v="1433397952"/>
    <s v="PN"/>
    <s v="16824"/>
    <s v="W"/>
    <n v="2865"/>
    <s v="Konin"/>
    <x v="1"/>
    <x v="25"/>
  </r>
  <r>
    <n v="2281651150"/>
    <s v="NOL"/>
    <s v="J646"/>
    <s v="L"/>
    <n v="2136"/>
    <s v="olsztynski"/>
    <x v="0"/>
    <x v="41"/>
  </r>
  <r>
    <n v="5581610439"/>
    <s v="SPI"/>
    <s v="O750"/>
    <s v="W"/>
    <n v="2316"/>
    <s v="Piekary Slaskie"/>
    <x v="0"/>
    <x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B0286-10AA-489A-B698-CC6DEF0D33A7}" name="Tabela przestawna2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rodzaj usługi">
  <location ref="Q1:R4" firstHeaderRow="1" firstDataRow="1" firstDataCol="1"/>
  <pivotFields count="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aryczna kwo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9843B-59A0-473D-91CB-F19CD9DAC60D}" name="Tabela przestawna4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Q4:Q19" firstHeaderRow="1" firstDataRow="1" firstDataCol="1" rowPageCount="2" colPageCount="1"/>
  <pivotFields count="7">
    <pivotField showAll="0"/>
    <pivotField showAll="0">
      <items count="41">
        <item x="36"/>
        <item x="18"/>
        <item x="9"/>
        <item x="34"/>
        <item x="16"/>
        <item x="6"/>
        <item x="15"/>
        <item x="0"/>
        <item x="13"/>
        <item x="26"/>
        <item x="1"/>
        <item x="8"/>
        <item x="31"/>
        <item x="30"/>
        <item x="7"/>
        <item x="3"/>
        <item x="23"/>
        <item x="19"/>
        <item x="5"/>
        <item x="29"/>
        <item x="27"/>
        <item x="20"/>
        <item x="37"/>
        <item x="14"/>
        <item x="10"/>
        <item x="24"/>
        <item x="4"/>
        <item x="21"/>
        <item x="12"/>
        <item x="2"/>
        <item x="28"/>
        <item x="17"/>
        <item x="25"/>
        <item x="32"/>
        <item x="39"/>
        <item x="38"/>
        <item x="11"/>
        <item x="33"/>
        <item x="35"/>
        <item x="22"/>
        <item t="default"/>
      </items>
    </pivotField>
    <pivotField axis="axisPage" showAll="0" sortType="descending">
      <items count="338">
        <item x="13"/>
        <item x="60"/>
        <item x="9"/>
        <item x="210"/>
        <item x="299"/>
        <item x="300"/>
        <item x="82"/>
        <item x="134"/>
        <item x="211"/>
        <item x="248"/>
        <item x="331"/>
        <item x="232"/>
        <item x="234"/>
        <item x="52"/>
        <item x="67"/>
        <item x="287"/>
        <item x="155"/>
        <item x="99"/>
        <item x="191"/>
        <item x="257"/>
        <item x="284"/>
        <item x="202"/>
        <item x="227"/>
        <item x="5"/>
        <item x="7"/>
        <item x="313"/>
        <item x="105"/>
        <item x="272"/>
        <item x="224"/>
        <item x="266"/>
        <item x="198"/>
        <item x="22"/>
        <item x="54"/>
        <item x="243"/>
        <item x="175"/>
        <item x="130"/>
        <item x="264"/>
        <item x="209"/>
        <item x="79"/>
        <item x="45"/>
        <item x="66"/>
        <item x="73"/>
        <item x="100"/>
        <item x="127"/>
        <item x="40"/>
        <item x="192"/>
        <item x="58"/>
        <item x="35"/>
        <item x="91"/>
        <item x="267"/>
        <item x="117"/>
        <item x="157"/>
        <item x="309"/>
        <item x="33"/>
        <item x="18"/>
        <item x="87"/>
        <item x="223"/>
        <item x="315"/>
        <item x="301"/>
        <item x="190"/>
        <item x="206"/>
        <item x="140"/>
        <item x="164"/>
        <item x="78"/>
        <item x="330"/>
        <item x="203"/>
        <item x="336"/>
        <item x="98"/>
        <item x="307"/>
        <item x="205"/>
        <item x="153"/>
        <item x="20"/>
        <item x="288"/>
        <item x="8"/>
        <item x="186"/>
        <item x="165"/>
        <item x="75"/>
        <item x="59"/>
        <item x="208"/>
        <item x="171"/>
        <item x="276"/>
        <item x="106"/>
        <item x="39"/>
        <item x="145"/>
        <item x="2"/>
        <item x="64"/>
        <item x="96"/>
        <item x="133"/>
        <item x="137"/>
        <item x="289"/>
        <item x="56"/>
        <item x="69"/>
        <item x="166"/>
        <item x="162"/>
        <item x="3"/>
        <item x="320"/>
        <item x="197"/>
        <item x="314"/>
        <item x="189"/>
        <item x="322"/>
        <item x="304"/>
        <item x="279"/>
        <item x="252"/>
        <item x="218"/>
        <item x="335"/>
        <item x="312"/>
        <item x="275"/>
        <item x="226"/>
        <item x="154"/>
        <item x="321"/>
        <item x="230"/>
        <item x="120"/>
        <item x="254"/>
        <item x="324"/>
        <item x="183"/>
        <item x="12"/>
        <item x="268"/>
        <item x="21"/>
        <item x="150"/>
        <item x="278"/>
        <item x="262"/>
        <item x="241"/>
        <item x="259"/>
        <item x="173"/>
        <item x="265"/>
        <item x="27"/>
        <item x="42"/>
        <item x="160"/>
        <item x="25"/>
        <item x="246"/>
        <item x="298"/>
        <item x="101"/>
        <item x="10"/>
        <item x="83"/>
        <item x="51"/>
        <item x="222"/>
        <item x="138"/>
        <item x="111"/>
        <item x="280"/>
        <item x="221"/>
        <item x="156"/>
        <item x="269"/>
        <item x="195"/>
        <item x="220"/>
        <item x="177"/>
        <item x="17"/>
        <item x="32"/>
        <item x="168"/>
        <item x="128"/>
        <item x="256"/>
        <item x="255"/>
        <item x="50"/>
        <item x="187"/>
        <item x="181"/>
        <item x="43"/>
        <item x="282"/>
        <item x="201"/>
        <item x="328"/>
        <item x="104"/>
        <item x="29"/>
        <item x="74"/>
        <item x="325"/>
        <item x="239"/>
        <item x="240"/>
        <item x="179"/>
        <item x="249"/>
        <item x="57"/>
        <item x="236"/>
        <item x="297"/>
        <item x="4"/>
        <item x="188"/>
        <item x="38"/>
        <item x="250"/>
        <item x="296"/>
        <item x="263"/>
        <item x="103"/>
        <item x="172"/>
        <item x="113"/>
        <item x="273"/>
        <item x="261"/>
        <item x="244"/>
        <item x="109"/>
        <item x="170"/>
        <item x="283"/>
        <item x="277"/>
        <item x="147"/>
        <item x="121"/>
        <item x="108"/>
        <item x="72"/>
        <item x="81"/>
        <item x="260"/>
        <item x="28"/>
        <item x="310"/>
        <item x="44"/>
        <item x="24"/>
        <item x="115"/>
        <item x="26"/>
        <item x="36"/>
        <item x="16"/>
        <item x="229"/>
        <item x="323"/>
        <item x="274"/>
        <item x="65"/>
        <item x="251"/>
        <item x="219"/>
        <item x="62"/>
        <item x="245"/>
        <item x="151"/>
        <item x="71"/>
        <item x="68"/>
        <item x="118"/>
        <item x="163"/>
        <item x="212"/>
        <item x="6"/>
        <item x="333"/>
        <item x="329"/>
        <item x="123"/>
        <item x="185"/>
        <item x="92"/>
        <item x="319"/>
        <item x="84"/>
        <item x="122"/>
        <item x="228"/>
        <item x="89"/>
        <item x="125"/>
        <item x="48"/>
        <item x="142"/>
        <item x="144"/>
        <item x="194"/>
        <item x="107"/>
        <item x="231"/>
        <item x="94"/>
        <item x="46"/>
        <item x="199"/>
        <item x="270"/>
        <item x="136"/>
        <item x="327"/>
        <item x="253"/>
        <item x="294"/>
        <item x="176"/>
        <item x="207"/>
        <item x="293"/>
        <item x="326"/>
        <item x="129"/>
        <item x="135"/>
        <item x="132"/>
        <item x="169"/>
        <item x="238"/>
        <item x="178"/>
        <item x="167"/>
        <item x="119"/>
        <item x="85"/>
        <item x="41"/>
        <item x="148"/>
        <item x="291"/>
        <item x="55"/>
        <item x="0"/>
        <item x="306"/>
        <item x="86"/>
        <item x="305"/>
        <item x="31"/>
        <item x="184"/>
        <item x="302"/>
        <item x="126"/>
        <item x="149"/>
        <item x="124"/>
        <item x="88"/>
        <item x="281"/>
        <item x="161"/>
        <item x="90"/>
        <item x="180"/>
        <item x="286"/>
        <item x="200"/>
        <item x="308"/>
        <item x="97"/>
        <item x="110"/>
        <item x="182"/>
        <item x="292"/>
        <item x="19"/>
        <item x="217"/>
        <item x="80"/>
        <item x="70"/>
        <item x="95"/>
        <item x="116"/>
        <item x="49"/>
        <item x="158"/>
        <item x="76"/>
        <item x="285"/>
        <item x="15"/>
        <item x="317"/>
        <item x="204"/>
        <item x="34"/>
        <item x="318"/>
        <item x="233"/>
        <item x="193"/>
        <item x="114"/>
        <item x="131"/>
        <item x="174"/>
        <item x="159"/>
        <item x="139"/>
        <item x="152"/>
        <item x="102"/>
        <item x="242"/>
        <item x="23"/>
        <item x="311"/>
        <item x="216"/>
        <item x="47"/>
        <item x="14"/>
        <item x="303"/>
        <item x="295"/>
        <item x="237"/>
        <item x="214"/>
        <item x="112"/>
        <item x="37"/>
        <item x="93"/>
        <item x="213"/>
        <item x="30"/>
        <item x="146"/>
        <item x="290"/>
        <item x="332"/>
        <item x="334"/>
        <item x="225"/>
        <item x="196"/>
        <item x="235"/>
        <item x="1"/>
        <item x="143"/>
        <item x="258"/>
        <item x="141"/>
        <item x="63"/>
        <item x="53"/>
        <item x="247"/>
        <item x="77"/>
        <item x="316"/>
        <item x="271"/>
        <item x="215"/>
        <item x="61"/>
        <item x="11"/>
        <item t="default"/>
      </items>
    </pivotField>
    <pivotField showAll="0"/>
    <pivotField showAll="0"/>
    <pivotField axis="axisRow" showAll="0" sortType="descending">
      <items count="338">
        <item x="158"/>
        <item x="76"/>
        <item x="285"/>
        <item x="317"/>
        <item x="248"/>
        <item x="234"/>
        <item x="287"/>
        <item x="266"/>
        <item x="243"/>
        <item x="264"/>
        <item x="267"/>
        <item x="301"/>
        <item x="288"/>
        <item x="289"/>
        <item x="304"/>
        <item x="268"/>
        <item x="262"/>
        <item x="241"/>
        <item x="259"/>
        <item x="265"/>
        <item x="280"/>
        <item x="195"/>
        <item x="323"/>
        <item x="329"/>
        <item x="291"/>
        <item x="306"/>
        <item x="305"/>
        <item x="162"/>
        <item x="218"/>
        <item x="254"/>
        <item x="25"/>
        <item x="318"/>
        <item x="233"/>
        <item x="315"/>
        <item x="330"/>
        <item x="307"/>
        <item x="320"/>
        <item x="314"/>
        <item x="322"/>
        <item x="336"/>
        <item x="211"/>
        <item x="227"/>
        <item x="224"/>
        <item x="198"/>
        <item x="209"/>
        <item x="192"/>
        <item x="223"/>
        <item x="206"/>
        <item x="203"/>
        <item x="205"/>
        <item x="221"/>
        <item x="139"/>
        <item x="152"/>
        <item x="102"/>
        <item x="60"/>
        <item x="52"/>
        <item x="67"/>
        <item x="54"/>
        <item x="45"/>
        <item x="73"/>
        <item x="58"/>
        <item x="75"/>
        <item x="59"/>
        <item x="64"/>
        <item x="69"/>
        <item x="157"/>
        <item x="190"/>
        <item x="153"/>
        <item x="186"/>
        <item x="165"/>
        <item x="145"/>
        <item x="189"/>
        <item x="183"/>
        <item x="173"/>
        <item x="156"/>
        <item x="13"/>
        <item x="9"/>
        <item x="5"/>
        <item x="7"/>
        <item x="22"/>
        <item x="40"/>
        <item x="35"/>
        <item x="20"/>
        <item x="39"/>
        <item x="2"/>
        <item x="12"/>
        <item x="27"/>
        <item x="10"/>
        <item x="72"/>
        <item x="28"/>
        <item x="26"/>
        <item x="71"/>
        <item x="118"/>
        <item x="212"/>
        <item x="123"/>
        <item x="200"/>
        <item x="97"/>
        <item x="110"/>
        <item x="115"/>
        <item x="151"/>
        <item x="68"/>
        <item x="136"/>
        <item x="132"/>
        <item x="86"/>
        <item x="88"/>
        <item x="116"/>
        <item x="56"/>
        <item x="252"/>
        <item x="43"/>
        <item x="4"/>
        <item x="277"/>
        <item x="81"/>
        <item x="36"/>
        <item x="65"/>
        <item x="90"/>
        <item x="180"/>
        <item x="82"/>
        <item x="134"/>
        <item x="79"/>
        <item x="100"/>
        <item x="127"/>
        <item x="91"/>
        <item x="117"/>
        <item x="140"/>
        <item x="78"/>
        <item x="98"/>
        <item x="106"/>
        <item x="96"/>
        <item x="133"/>
        <item x="137"/>
        <item x="101"/>
        <item x="111"/>
        <item x="228"/>
        <item x="89"/>
        <item x="125"/>
        <item x="48"/>
        <item x="242"/>
        <item x="23"/>
        <item x="311"/>
        <item x="216"/>
        <item x="47"/>
        <item x="319"/>
        <item x="84"/>
        <item x="122"/>
        <item x="327"/>
        <item x="253"/>
        <item x="294"/>
        <item x="176"/>
        <item x="207"/>
        <item x="114"/>
        <item x="131"/>
        <item x="174"/>
        <item x="159"/>
        <item x="37"/>
        <item x="93"/>
        <item x="213"/>
        <item x="30"/>
        <item x="146"/>
        <item x="290"/>
        <item x="332"/>
        <item x="334"/>
        <item x="225"/>
        <item x="63"/>
        <item x="53"/>
        <item x="247"/>
        <item x="250"/>
        <item x="296"/>
        <item x="263"/>
        <item x="261"/>
        <item x="302"/>
        <item x="281"/>
        <item x="155"/>
        <item x="130"/>
        <item x="87"/>
        <item x="51"/>
        <item x="171"/>
        <item x="278"/>
        <item x="220"/>
        <item x="124"/>
        <item x="182"/>
        <item x="260"/>
        <item x="251"/>
        <item x="163"/>
        <item x="270"/>
        <item x="238"/>
        <item x="286"/>
        <item x="316"/>
        <item x="271"/>
        <item x="215"/>
        <item x="61"/>
        <item x="11"/>
        <item x="168"/>
        <item x="128"/>
        <item x="50"/>
        <item x="187"/>
        <item x="181"/>
        <item x="179"/>
        <item x="57"/>
        <item x="236"/>
        <item x="300"/>
        <item x="208"/>
        <item x="335"/>
        <item x="269"/>
        <item x="193"/>
        <item x="77"/>
        <item x="164"/>
        <item x="8"/>
        <item x="276"/>
        <item x="3"/>
        <item x="226"/>
        <item x="230"/>
        <item x="222"/>
        <item x="299"/>
        <item x="257"/>
        <item x="284"/>
        <item x="105"/>
        <item x="272"/>
        <item x="154"/>
        <item x="298"/>
        <item x="177"/>
        <item x="17"/>
        <item x="32"/>
        <item x="188"/>
        <item x="121"/>
        <item x="44"/>
        <item x="331"/>
        <item x="175"/>
        <item x="191"/>
        <item x="313"/>
        <item x="321"/>
        <item x="210"/>
        <item x="232"/>
        <item x="18"/>
        <item x="279"/>
        <item x="312"/>
        <item x="324"/>
        <item x="150"/>
        <item x="42"/>
        <item x="246"/>
        <item x="83"/>
        <item x="103"/>
        <item x="273"/>
        <item x="109"/>
        <item x="293"/>
        <item x="326"/>
        <item x="129"/>
        <item x="135"/>
        <item x="169"/>
        <item x="196"/>
        <item x="235"/>
        <item x="1"/>
        <item x="143"/>
        <item x="258"/>
        <item x="141"/>
        <item x="309"/>
        <item x="120"/>
        <item x="201"/>
        <item x="328"/>
        <item x="104"/>
        <item x="29"/>
        <item x="74"/>
        <item x="325"/>
        <item x="178"/>
        <item x="167"/>
        <item x="119"/>
        <item x="85"/>
        <item x="41"/>
        <item x="148"/>
        <item x="16"/>
        <item x="62"/>
        <item x="6"/>
        <item x="0"/>
        <item x="19"/>
        <item x="38"/>
        <item x="172"/>
        <item x="113"/>
        <item x="244"/>
        <item x="170"/>
        <item x="147"/>
        <item x="31"/>
        <item x="184"/>
        <item x="126"/>
        <item x="149"/>
        <item x="161"/>
        <item x="66"/>
        <item x="283"/>
        <item x="108"/>
        <item x="310"/>
        <item x="24"/>
        <item x="185"/>
        <item x="92"/>
        <item x="142"/>
        <item x="144"/>
        <item x="194"/>
        <item x="107"/>
        <item x="231"/>
        <item x="94"/>
        <item x="46"/>
        <item x="199"/>
        <item x="55"/>
        <item x="15"/>
        <item x="204"/>
        <item x="34"/>
        <item x="14"/>
        <item x="303"/>
        <item x="295"/>
        <item x="237"/>
        <item x="214"/>
        <item x="112"/>
        <item x="202"/>
        <item x="33"/>
        <item x="166"/>
        <item x="197"/>
        <item x="275"/>
        <item x="160"/>
        <item x="138"/>
        <item x="229"/>
        <item x="274"/>
        <item x="219"/>
        <item x="245"/>
        <item x="333"/>
        <item x="308"/>
        <item x="292"/>
        <item x="217"/>
        <item x="99"/>
        <item x="21"/>
        <item x="80"/>
        <item x="70"/>
        <item x="95"/>
        <item x="49"/>
        <item x="256"/>
        <item x="255"/>
        <item x="282"/>
        <item x="239"/>
        <item x="240"/>
        <item x="249"/>
        <item x="297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5"/>
  </rowFields>
  <rowItems count="15">
    <i>
      <x v="144"/>
    </i>
    <i>
      <x v="145"/>
    </i>
    <i>
      <x v="146"/>
    </i>
    <i>
      <x v="147"/>
    </i>
    <i>
      <x v="148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 t="grand">
      <x/>
    </i>
  </rowItems>
  <colItems count="1">
    <i/>
  </colItems>
  <pageFields count="2">
    <pageField fld="6" item="1" hier="-1"/>
    <pageField fld="2" hier="-1"/>
  </pageFields>
  <formats count="1">
    <format dxfId="28">
      <pivotArea dataOnly="0" labelOnly="1" fieldPosition="0">
        <references count="1">
          <reference field="5" count="14">
            <x v="144"/>
            <x v="145"/>
            <x v="146"/>
            <x v="147"/>
            <x v="148"/>
            <x v="153"/>
            <x v="154"/>
            <x v="155"/>
            <x v="156"/>
            <x v="157"/>
            <x v="158"/>
            <x v="159"/>
            <x v="160"/>
            <x v="16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7E163-A6C6-40B1-B9F1-2971C98238C6}" name="Tabela przestawna6" cacheId="3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A FIRMY">
  <location ref="Q3:R5" firstHeaderRow="1" firstDataRow="1" firstDataCol="1" rowPageCount="1" colPageCount="1"/>
  <pivotFields count="7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axis="axisRow" showAll="0" measureFilter="1">
      <items count="61">
        <item x="0"/>
        <item x="25"/>
        <item x="48"/>
        <item x="21"/>
        <item x="43"/>
        <item x="46"/>
        <item x="56"/>
        <item x="54"/>
        <item x="13"/>
        <item x="18"/>
        <item x="53"/>
        <item x="52"/>
        <item x="59"/>
        <item x="58"/>
        <item x="33"/>
        <item x="1"/>
        <item x="20"/>
        <item x="2"/>
        <item x="26"/>
        <item x="39"/>
        <item x="55"/>
        <item x="24"/>
        <item x="41"/>
        <item x="3"/>
        <item x="29"/>
        <item x="16"/>
        <item x="14"/>
        <item x="38"/>
        <item x="51"/>
        <item x="9"/>
        <item x="40"/>
        <item x="34"/>
        <item x="30"/>
        <item x="42"/>
        <item x="35"/>
        <item x="4"/>
        <item x="19"/>
        <item x="17"/>
        <item x="5"/>
        <item x="8"/>
        <item x="36"/>
        <item x="50"/>
        <item x="31"/>
        <item x="11"/>
        <item x="15"/>
        <item x="7"/>
        <item x="27"/>
        <item x="6"/>
        <item x="44"/>
        <item x="37"/>
        <item x="22"/>
        <item x="32"/>
        <item x="28"/>
        <item x="23"/>
        <item x="45"/>
        <item x="47"/>
        <item x="57"/>
        <item x="10"/>
        <item x="49"/>
        <item x="12"/>
        <item t="default"/>
      </items>
    </pivotField>
    <pivotField dataField="1" showAll="0"/>
  </pivotFields>
  <rowFields count="1">
    <field x="5"/>
  </rowFields>
  <rowItems count="2">
    <i>
      <x v="50"/>
    </i>
    <i t="grand">
      <x/>
    </i>
  </rowItems>
  <colItems count="1">
    <i/>
  </colItems>
  <pageFields count="1">
    <pageField fld="3" item="0" hier="-1"/>
  </pageFields>
  <dataFields count="1">
    <dataField name="Liczba leasingow" fld="6" subtotal="count" baseField="0" baseItem="0"/>
  </dataFields>
  <formats count="4">
    <format dxfId="17">
      <pivotArea collapsedLevelsAreSubtotals="1" fieldPosition="0">
        <references count="1">
          <reference field="5" count="1">
            <x v="50"/>
          </reference>
        </references>
      </pivotArea>
    </format>
    <format dxfId="18">
      <pivotArea field="5" type="button" dataOnly="0" labelOnly="1" outline="0" axis="axisRow" fieldPosition="0"/>
    </format>
    <format dxfId="19">
      <pivotArea dataOnly="0" labelOnly="1" fieldPosition="0">
        <references count="1">
          <reference field="5" count="1">
            <x v="50"/>
          </reference>
        </references>
      </pivotArea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08EF3-65DF-49D8-96A6-1EF3F21DAAA6}" name="Tabela przestawna8" cacheId="4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a firmy">
  <location ref="U3:V7" firstHeaderRow="1" firstDataRow="1" firstDataCol="1" rowPageCount="1" colPageCount="1"/>
  <pivotFields count="8">
    <pivotField showAll="0"/>
    <pivotField showAll="0"/>
    <pivotField showAll="0"/>
    <pivotField showAll="0"/>
    <pivotField dataField="1"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61">
        <item x="0"/>
        <item x="25"/>
        <item x="48"/>
        <item x="21"/>
        <item x="43"/>
        <item x="46"/>
        <item x="56"/>
        <item x="54"/>
        <item x="13"/>
        <item x="18"/>
        <item x="53"/>
        <item x="52"/>
        <item x="59"/>
        <item x="58"/>
        <item x="33"/>
        <item x="1"/>
        <item x="20"/>
        <item x="2"/>
        <item x="26"/>
        <item x="39"/>
        <item x="55"/>
        <item x="24"/>
        <item x="41"/>
        <item x="3"/>
        <item x="29"/>
        <item x="16"/>
        <item x="14"/>
        <item x="38"/>
        <item x="51"/>
        <item x="9"/>
        <item x="40"/>
        <item x="34"/>
        <item x="30"/>
        <item x="42"/>
        <item x="35"/>
        <item x="4"/>
        <item x="19"/>
        <item x="17"/>
        <item x="5"/>
        <item x="8"/>
        <item x="36"/>
        <item x="50"/>
        <item x="31"/>
        <item x="11"/>
        <item x="15"/>
        <item x="7"/>
        <item x="27"/>
        <item x="6"/>
        <item x="44"/>
        <item x="37"/>
        <item x="22"/>
        <item x="32"/>
        <item x="28"/>
        <item x="23"/>
        <item x="45"/>
        <item x="47"/>
        <item x="57"/>
        <item x="10"/>
        <item x="49"/>
        <item x="12"/>
        <item t="default"/>
      </items>
    </pivotField>
  </pivotFields>
  <rowFields count="1">
    <field x="7"/>
  </rowFields>
  <rowItems count="4">
    <i>
      <x v="1"/>
    </i>
    <i>
      <x v="34"/>
    </i>
    <i>
      <x v="48"/>
    </i>
    <i t="grand">
      <x/>
    </i>
  </rowItems>
  <colItems count="1">
    <i/>
  </colItems>
  <pageFields count="1">
    <pageField fld="6" item="1" hier="-1"/>
  </pageFields>
  <dataFields count="1">
    <dataField name="Średnia z rata" fld="4" subtotal="average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086A2-F45A-451C-9909-31006F5A5BA0}" name="Tabela przestawna7" cacheId="4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y powiatów">
  <location ref="R3:R27" firstHeaderRow="1" firstDataRow="1" firstDataCol="1" rowPageCount="1" colPageCount="1"/>
  <pivotFields count="7">
    <pivotField showAll="0"/>
    <pivotField showAll="0"/>
    <pivotField showAll="0"/>
    <pivotField showAll="0"/>
    <pivotField showAll="0"/>
    <pivotField axis="axisRow" showAll="0">
      <items count="39">
        <item x="2"/>
        <item x="34"/>
        <item x="12"/>
        <item x="28"/>
        <item x="22"/>
        <item x="13"/>
        <item x="7"/>
        <item x="3"/>
        <item x="9"/>
        <item x="26"/>
        <item x="32"/>
        <item x="17"/>
        <item x="19"/>
        <item x="14"/>
        <item x="20"/>
        <item x="25"/>
        <item x="35"/>
        <item x="15"/>
        <item x="8"/>
        <item x="1"/>
        <item x="5"/>
        <item x="16"/>
        <item x="23"/>
        <item x="27"/>
        <item x="37"/>
        <item x="24"/>
        <item x="10"/>
        <item x="11"/>
        <item x="36"/>
        <item x="18"/>
        <item x="30"/>
        <item x="21"/>
        <item x="31"/>
        <item x="0"/>
        <item x="4"/>
        <item x="6"/>
        <item x="33"/>
        <item x="29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5"/>
  </rowFields>
  <rowItems count="24">
    <i>
      <x/>
    </i>
    <i>
      <x v="1"/>
    </i>
    <i>
      <x v="3"/>
    </i>
    <i>
      <x v="4"/>
    </i>
    <i>
      <x v="6"/>
    </i>
    <i>
      <x v="7"/>
    </i>
    <i>
      <x v="8"/>
    </i>
    <i>
      <x v="10"/>
    </i>
    <i>
      <x v="12"/>
    </i>
    <i>
      <x v="14"/>
    </i>
    <i>
      <x v="15"/>
    </i>
    <i>
      <x v="18"/>
    </i>
    <i>
      <x v="20"/>
    </i>
    <i>
      <x v="21"/>
    </i>
    <i>
      <x v="22"/>
    </i>
    <i>
      <x v="23"/>
    </i>
    <i>
      <x v="25"/>
    </i>
    <i>
      <x v="29"/>
    </i>
    <i>
      <x v="31"/>
    </i>
    <i>
      <x v="32"/>
    </i>
    <i>
      <x v="33"/>
    </i>
    <i>
      <x v="34"/>
    </i>
    <i>
      <x v="37"/>
    </i>
    <i t="grand">
      <x/>
    </i>
  </rowItems>
  <colItems count="1">
    <i/>
  </colItems>
  <pageFields count="1">
    <pageField fld="6" item="1" hier="-1"/>
  </pageFields>
  <formats count="2">
    <format dxfId="10">
      <pivotArea field="5" type="button" dataOnly="0" labelOnly="1" outline="0" axis="axisRow" fieldPosition="0"/>
    </format>
    <format dxfId="9">
      <pivotArea dataOnly="0" labelOnly="1" fieldPosition="0">
        <references count="1">
          <reference field="5" count="23">
            <x v="0"/>
            <x v="1"/>
            <x v="3"/>
            <x v="4"/>
            <x v="6"/>
            <x v="7"/>
            <x v="8"/>
            <x v="10"/>
            <x v="12"/>
            <x v="14"/>
            <x v="15"/>
            <x v="18"/>
            <x v="20"/>
            <x v="21"/>
            <x v="22"/>
            <x v="23"/>
            <x v="25"/>
            <x v="29"/>
            <x v="31"/>
            <x v="32"/>
            <x v="33"/>
            <x v="34"/>
            <x v="3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133EC168-E624-473D-89FF-F465CD5FA002}" autoFormatId="16" applyNumberFormats="0" applyBorderFormats="0" applyFontFormats="0" applyPatternFormats="0" applyAlignmentFormats="0" applyWidthHeightFormats="0">
  <queryTableRefresh nextId="6">
    <queryTableFields count="5">
      <queryTableField id="1" name="NIP" tableColumnId="1"/>
      <queryTableField id="2" name="ozn" tableColumnId="2"/>
      <queryTableField id="3" name="nr" tableColumnId="3"/>
      <queryTableField id="4" name="rodzaj_uslugi" tableColumnId="4"/>
      <queryTableField id="5" name="rat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4A4D7E-2AC3-42A5-876B-DC67F79ED6AA}" autoFormatId="16" applyNumberFormats="0" applyBorderFormats="0" applyFontFormats="0" applyPatternFormats="0" applyAlignmentFormats="0" applyWidthHeightFormats="0">
  <queryTableRefresh nextId="3">
    <queryTableFields count="2">
      <queryTableField id="1" name="NIP" tableColumnId="1"/>
      <queryTableField id="2" name="firm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5E081A61-CC11-4FAD-B9CE-555EABDED1C1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NIP" tableColumnId="1"/>
      <queryTableField id="2" name="ozn" tableColumnId="2"/>
      <queryTableField id="3" name="nr" tableColumnId="3"/>
      <queryTableField id="4" name="rodzaj_uslugi" tableColumnId="4"/>
      <queryTableField id="5" name="rata" tableColumnId="5"/>
      <queryTableField id="6" dataBound="0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3F981A9-3A52-45A1-92F7-93DA5A60C4E8}" autoFormatId="16" applyNumberFormats="0" applyBorderFormats="0" applyFontFormats="0" applyPatternFormats="0" applyAlignmentFormats="0" applyWidthHeightFormats="0">
  <queryTableRefresh nextId="3">
    <queryTableFields count="2">
      <queryTableField id="1" name="NIP" tableColumnId="1"/>
      <queryTableField id="2" name="firma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6591740B-BF03-4EAC-9253-63683C5C3DF1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NIP" tableColumnId="1"/>
      <queryTableField id="2" name="ozn" tableColumnId="2"/>
      <queryTableField id="3" name="nr" tableColumnId="3"/>
      <queryTableField id="4" name="rodzaj_uslugi" tableColumnId="4"/>
      <queryTableField id="5" name="rata" tableColumnId="5"/>
      <queryTableField id="6" dataBound="0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F33AE26-79AF-4E7A-AAFB-761881B44BCA}" autoFormatId="16" applyNumberFormats="0" applyBorderFormats="0" applyFontFormats="0" applyPatternFormats="0" applyAlignmentFormats="0" applyWidthHeightFormats="0">
  <queryTableRefresh nextId="3">
    <queryTableFields count="2">
      <queryTableField id="1" name="NIP" tableColumnId="1"/>
      <queryTableField id="2" name="firma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4CA729AA-2D34-4462-9850-BE4CB1FD46B8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NIP" tableColumnId="1"/>
      <queryTableField id="2" name="ozn" tableColumnId="2"/>
      <queryTableField id="3" name="nr" tableColumnId="3"/>
      <queryTableField id="4" name="rodzaj_uslugi" tableColumnId="4"/>
      <queryTableField id="5" name="rata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7078473-4C69-4B90-B272-50FF2712390E}" autoFormatId="16" applyNumberFormats="0" applyBorderFormats="0" applyFontFormats="0" applyPatternFormats="0" applyAlignmentFormats="0" applyWidthHeightFormats="0">
  <queryTableRefresh nextId="3">
    <queryTableFields count="2">
      <queryTableField id="1" name="NIP" tableColumnId="1"/>
      <queryTableField id="2" name="firma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645D8B3A-8F45-4912-9B62-D607E951E718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NIP" tableColumnId="1"/>
      <queryTableField id="2" name="ozn" tableColumnId="2"/>
      <queryTableField id="3" name="nr" tableColumnId="3"/>
      <queryTableField id="4" name="rodzaj_uslugi" tableColumnId="4"/>
      <queryTableField id="5" name="rata" tableColumnId="5"/>
      <queryTableField id="6" dataBound="0" tableColumnId="6"/>
      <queryTableField id="7" dataBound="0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CE9810B-9E18-43E3-8E05-52AADB02F564}" autoFormatId="16" applyNumberFormats="0" applyBorderFormats="0" applyFontFormats="0" applyPatternFormats="0" applyAlignmentFormats="0" applyWidthHeightFormats="0">
  <queryTableRefresh nextId="3">
    <queryTableFields count="2">
      <queryTableField id="1" name="NIP" tableColumnId="1"/>
      <queryTableField id="2" name="firma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FC96CE8-6568-4572-A33E-8A88BC5C3783}" autoFormatId="16" applyNumberFormats="0" applyBorderFormats="0" applyFontFormats="0" applyPatternFormats="0" applyAlignmentFormats="0" applyWidthHeightFormats="0">
  <queryTableRefresh nextId="6">
    <queryTableFields count="5">
      <queryTableField id="1" name="NIP" tableColumnId="1"/>
      <queryTableField id="2" name="ozn" tableColumnId="2"/>
      <queryTableField id="3" name="nr" tableColumnId="3"/>
      <queryTableField id="4" name="rodzaj_uslugi" tableColumnId="4"/>
      <queryTableField id="5" name="rata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F173743-F932-4302-B8F1-4B21568B1322}" autoFormatId="16" applyNumberFormats="0" applyBorderFormats="0" applyFontFormats="0" applyPatternFormats="0" applyAlignmentFormats="0" applyWidthHeightFormats="0">
  <queryTableRefresh nextId="3">
    <queryTableFields count="2">
      <queryTableField id="1" name="NIP" tableColumnId="1"/>
      <queryTableField id="2" name="firm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5BCF82-A366-4342-82F9-620CE970C89A}" name="uslugi47" displayName="uslugi47" ref="F1:J338" tableType="queryTable" totalsRowShown="0">
  <autoFilter ref="F1:J338" xr:uid="{1D65A3B8-DB80-4CD6-9D6C-2FCC05B11098}"/>
  <tableColumns count="5">
    <tableColumn id="1" xr3:uid="{B0E8BD34-13A7-4839-84BE-00996FFFAC64}" uniqueName="1" name="NIP" queryTableFieldId="1"/>
    <tableColumn id="2" xr3:uid="{31BB1152-9557-46C2-A1DA-8A4892C49401}" uniqueName="2" name="ozn" queryTableFieldId="2" dataDxfId="38"/>
    <tableColumn id="3" xr3:uid="{FB61737A-E344-4A75-8652-4CD9E406926B}" uniqueName="3" name="nr" queryTableFieldId="3" dataDxfId="37"/>
    <tableColumn id="4" xr3:uid="{7A164978-9899-41DF-B2F9-05E5AD63B41B}" uniqueName="4" name="rodzaj_uslugi" queryTableFieldId="4" dataDxfId="36"/>
    <tableColumn id="5" xr3:uid="{343E3293-C0BD-4AA5-B9E9-D42E8A3D44D2}" uniqueName="5" name="rata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32B277-FD2A-4576-A888-F94A2A13550F}" name="nip_firm68" displayName="nip_firm68" ref="L1:M61" tableType="queryTable" totalsRowShown="0">
  <autoFilter ref="L1:M61" xr:uid="{FE221C46-47D4-4092-BB28-F9D4E32A9683}"/>
  <tableColumns count="2">
    <tableColumn id="1" xr3:uid="{3E647FA1-5156-4339-9BB1-F4170EDD9226}" uniqueName="1" name="NIP" queryTableFieldId="1"/>
    <tableColumn id="2" xr3:uid="{A5686F23-BFF0-44C4-804A-FB4B2192C25C}" uniqueName="2" name="firma" queryTableFieldId="2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A5CD50-3A92-4D56-A7A1-0FEEAECA16C3}" name="uslugi49" displayName="uslugi49" ref="F1:L338" tableType="queryTable" totalsRowShown="0">
  <autoFilter ref="F1:L338" xr:uid="{1D65A3B8-DB80-4CD6-9D6C-2FCC05B11098}"/>
  <tableColumns count="7">
    <tableColumn id="1" xr3:uid="{E2AA0AA4-15B0-4600-92AC-84BACBFB5DEA}" uniqueName="1" name="NIP" queryTableFieldId="1"/>
    <tableColumn id="2" xr3:uid="{4BF68585-1E8A-48F3-A5B5-624E62495379}" uniqueName="2" name="ozn" queryTableFieldId="2" dataDxfId="34"/>
    <tableColumn id="3" xr3:uid="{C4B418CB-7919-4F76-AD67-00D4AE23EDE2}" uniqueName="3" name="nr" queryTableFieldId="3" dataDxfId="33"/>
    <tableColumn id="4" xr3:uid="{6C307979-E387-4049-BA83-11E8721A5253}" uniqueName="4" name="rodzaj_uslugi" queryTableFieldId="4" dataDxfId="32"/>
    <tableColumn id="5" xr3:uid="{AD05D392-03FE-41C7-AA23-E6BC4E47F9E1}" uniqueName="5" name="rata" queryTableFieldId="5"/>
    <tableColumn id="6" xr3:uid="{30692B35-A12A-4855-9D5A-431473ED7ED3}" uniqueName="6" name="tablica_rejestracyjna" queryTableFieldId="6" dataDxfId="30">
      <calculatedColumnFormula>_xlfn.CONCAT(uslugi49[[#This Row],[ozn]:[nr]])</calculatedColumnFormula>
    </tableColumn>
    <tableColumn id="7" xr3:uid="{900C8840-D7F5-453B-BD33-011902D16B78}" uniqueName="7" name="czyFirmaBartex" queryTableFieldId="7" dataDxfId="29">
      <calculatedColumnFormula>IF(VLOOKUP(uslugi49[[#This Row],[NIP]],nip_firm610[],2,FALSE)="BARTEX",1,0)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9FED63-F68B-487B-B678-843E6F9EDB0D}" name="nip_firm610" displayName="nip_firm610" ref="N1:O61" tableType="queryTable" totalsRowShown="0">
  <autoFilter ref="N1:O61" xr:uid="{FE221C46-47D4-4092-BB28-F9D4E32A9683}"/>
  <tableColumns count="2">
    <tableColumn id="1" xr3:uid="{BEAC2050-24FB-4C73-BD71-2F92FB4B57FC}" uniqueName="1" name="NIP" queryTableFieldId="1"/>
    <tableColumn id="2" xr3:uid="{7F798BD8-786D-4038-BFDA-BE5CD155BE58}" uniqueName="2" name="firma" queryTableFieldId="2" dataDxf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AD093C-CD61-42A4-852A-EC52D7CAD9CF}" name="uslugi411" displayName="uslugi411" ref="F1:L338" tableType="queryTable" totalsRowShown="0">
  <autoFilter ref="F1:L338" xr:uid="{1D65A3B8-DB80-4CD6-9D6C-2FCC05B11098}"/>
  <tableColumns count="7">
    <tableColumn id="1" xr3:uid="{56305FB7-A21A-47AA-9F82-5CA0BDFC9E86}" uniqueName="1" name="NIP" queryTableFieldId="1"/>
    <tableColumn id="2" xr3:uid="{A3B2BECA-8893-4F04-B360-635A5D317E57}" uniqueName="2" name="ozn" queryTableFieldId="2" dataDxfId="27"/>
    <tableColumn id="3" xr3:uid="{B60D5F53-09A2-4D93-9DF4-A5D155D55BB5}" uniqueName="3" name="nr" queryTableFieldId="3" dataDxfId="26"/>
    <tableColumn id="4" xr3:uid="{91DD275C-DD85-48F3-AE4E-D095D03797DE}" uniqueName="4" name="rodzaj_uslugi" queryTableFieldId="4" dataDxfId="25"/>
    <tableColumn id="5" xr3:uid="{D460F348-6F97-44A6-9E4C-E80AD7DFFA99}" uniqueName="5" name="rata" queryTableFieldId="5"/>
    <tableColumn id="6" xr3:uid="{60613053-562B-4663-82D1-BD2A1B786E4A}" uniqueName="6" name="nazwa_firmy" queryTableFieldId="6" dataDxfId="23">
      <calculatedColumnFormula>VLOOKUP(uslugi411[[#This Row],[NIP]],nip_firm612[],2,FALSE)</calculatedColumnFormula>
    </tableColumn>
    <tableColumn id="7" xr3:uid="{D8ABAFB4-9786-4B35-BBF1-3BC62FBB8616}" uniqueName="7" name="rejestracja" queryTableFieldId="7" dataDxfId="22">
      <calculatedColumnFormula>_xlfn.CONCAT(uslugi411[[#This Row],[ozn]:[nr]])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55DCE0-6F43-444F-B4AF-5EEC0481EA99}" name="nip_firm612" displayName="nip_firm612" ref="N1:O61" tableType="queryTable" totalsRowShown="0">
  <autoFilter ref="N1:O61" xr:uid="{FE221C46-47D4-4092-BB28-F9D4E32A9683}"/>
  <tableColumns count="2">
    <tableColumn id="1" xr3:uid="{74F1D4EB-21B9-493F-8ADA-95D2F311647A}" uniqueName="1" name="NIP" queryTableFieldId="1"/>
    <tableColumn id="2" xr3:uid="{A8A0C242-E009-4B57-B046-83CC7E5A56EC}" uniqueName="2" name="firma" queryTableFieldId="2" dataDxfId="2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ED9FF2-D7EC-4A91-8857-0FB2970CBBAE}" name="uslugi41315" displayName="uslugi41315" ref="F1:M338" tableType="queryTable" totalsRowShown="0">
  <autoFilter ref="F1:M338" xr:uid="{1D65A3B8-DB80-4CD6-9D6C-2FCC05B11098}"/>
  <tableColumns count="8">
    <tableColumn id="1" xr3:uid="{60CF8D90-CB6B-43BD-B6E7-77A68E22C893}" uniqueName="1" name="NIP" queryTableFieldId="1"/>
    <tableColumn id="2" xr3:uid="{C9F69E5D-8D01-456D-B9D9-63BFA2F4FA1D}" uniqueName="2" name="ozn" queryTableFieldId="2" dataDxfId="6"/>
    <tableColumn id="3" xr3:uid="{E1F609DE-C38C-4417-B393-0469791C17C8}" uniqueName="3" name="nr" queryTableFieldId="3" dataDxfId="5"/>
    <tableColumn id="4" xr3:uid="{3BAE66E4-CA09-4144-8AC4-E6CB7FD04FE1}" uniqueName="4" name="rodzaj_uslugi" queryTableFieldId="4" dataDxfId="4"/>
    <tableColumn id="5" xr3:uid="{A592D931-6AF6-4FB2-A24E-0EDA2731774B}" uniqueName="5" name="rata" queryTableFieldId="5"/>
    <tableColumn id="6" xr3:uid="{D406AFA7-1D6A-47B8-9FB7-3CDB87430C0B}" uniqueName="6" name="powiat" queryTableFieldId="6" dataDxfId="3">
      <calculatedColumnFormula>VLOOKUP(uslugi41315[[#This Row],[ozn]],$A$2:$D$410,2,FALSE)</calculatedColumnFormula>
    </tableColumn>
    <tableColumn id="7" xr3:uid="{2CD18E06-5521-487E-AD83-461634C6BF64}" uniqueName="7" name="czyKonin" queryTableFieldId="7" dataDxfId="1">
      <calculatedColumnFormula>IF(uslugi41315[[#This Row],[powiat]]="Konin",1,0)</calculatedColumnFormula>
    </tableColumn>
    <tableColumn id="8" xr3:uid="{2FC0B6AF-DEAC-4BE5-9277-4E55215AD7B0}" uniqueName="8" name="nazwa_firmy" queryTableFieldId="8" dataDxfId="0">
      <calculatedColumnFormula>VLOOKUP(uslugi41315[[#This Row],[NIP]],nip_firm61416[],2,FALSE)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89C3A0-FE59-480E-9366-6BC0B474690F}" name="nip_firm61416" displayName="nip_firm61416" ref="Q1:R61" tableType="queryTable" totalsRowShown="0">
  <autoFilter ref="Q1:R61" xr:uid="{FE221C46-47D4-4092-BB28-F9D4E32A9683}"/>
  <tableColumns count="2">
    <tableColumn id="1" xr3:uid="{5E2DF11D-3383-4BC9-9C6D-F730426F1CAE}" uniqueName="1" name="NIP" queryTableFieldId="1"/>
    <tableColumn id="2" xr3:uid="{C7070E6E-8E96-4CB3-947E-59393B07B67C}" uniqueName="2" name="firma" queryTableFieldId="2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CEA5BA-4B1B-43F6-BBD2-B344517678B0}" name="uslugi413" displayName="uslugi413" ref="F1:L338" tableType="queryTable" totalsRowShown="0">
  <autoFilter ref="F1:L338" xr:uid="{1D65A3B8-DB80-4CD6-9D6C-2FCC05B11098}"/>
  <tableColumns count="7">
    <tableColumn id="1" xr3:uid="{2AC25A86-D3D8-49C0-ADA9-22C15141D974}" uniqueName="1" name="NIP" queryTableFieldId="1"/>
    <tableColumn id="2" xr3:uid="{04FBA550-8069-42E8-8EB6-A0DF0BF9D0CE}" uniqueName="2" name="ozn" queryTableFieldId="2" dataDxfId="16"/>
    <tableColumn id="3" xr3:uid="{635DD1AD-A82C-49A6-8283-CB4206FB6213}" uniqueName="3" name="nr" queryTableFieldId="3" dataDxfId="15"/>
    <tableColumn id="4" xr3:uid="{419FAA56-9A50-4E87-98CA-B5B85CE51BEB}" uniqueName="4" name="rodzaj_uslugi" queryTableFieldId="4" dataDxfId="14"/>
    <tableColumn id="5" xr3:uid="{D4CB0BF4-0A92-4A8A-B979-3217A15EF10B}" uniqueName="5" name="rata" queryTableFieldId="5"/>
    <tableColumn id="6" xr3:uid="{2AEFBE77-7E22-417D-9C49-430701A1677A}" uniqueName="6" name="powiat" queryTableFieldId="6" dataDxfId="12">
      <calculatedColumnFormula>VLOOKUP(uslugi413[[#This Row],[ozn]],$A$2:$D$410,2,FALSE)</calculatedColumnFormula>
    </tableColumn>
    <tableColumn id="7" xr3:uid="{E35935CB-2FBD-4AF8-AB1B-4375CE0F0637}" uniqueName="7" name="czy_ziemski" queryTableFieldId="7" dataDxfId="11">
      <calculatedColumnFormula>IF(VLOOKUP(uslugi413[[#This Row],[ozn]],$A$2:$D$410,4,FALSE)="z",1,0)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8609F2A-6CD6-41FE-99A3-77F75D95132C}" name="nip_firm614" displayName="nip_firm614" ref="N1:O61" tableType="queryTable" totalsRowShown="0">
  <autoFilter ref="N1:O61" xr:uid="{FE221C46-47D4-4092-BB28-F9D4E32A9683}"/>
  <tableColumns count="2">
    <tableColumn id="1" xr3:uid="{BFCBB7AA-7F09-4252-8489-B4B620924FF6}" uniqueName="1" name="NIP" queryTableFieldId="1"/>
    <tableColumn id="2" xr3:uid="{B90A2D6A-61B2-4C15-95D1-6FA89DAD4197}" uniqueName="2" name="firma" queryTableFieldId="2" dataDxf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65A3B8-DB80-4CD6-9D6C-2FCC05B11098}" name="uslugi4" displayName="uslugi4" ref="F1:J338" tableType="queryTable" totalsRowShown="0">
  <autoFilter ref="F1:J338" xr:uid="{1D65A3B8-DB80-4CD6-9D6C-2FCC05B11098}"/>
  <tableColumns count="5">
    <tableColumn id="1" xr3:uid="{F601169B-0DCD-404F-AD8B-D5BFC2BFC251}" uniqueName="1" name="NIP" queryTableFieldId="1"/>
    <tableColumn id="2" xr3:uid="{9D189801-7C4C-4A56-AECA-60B0414B9256}" uniqueName="2" name="ozn" queryTableFieldId="2" dataDxfId="42"/>
    <tableColumn id="3" xr3:uid="{9AD0AB6F-90D4-4ACA-B446-CCFF71283F69}" uniqueName="3" name="nr" queryTableFieldId="3" dataDxfId="41"/>
    <tableColumn id="4" xr3:uid="{724C3A4A-52E8-4344-84C1-1F0748E2A024}" uniqueName="4" name="rodzaj_uslugi" queryTableFieldId="4" dataDxfId="40"/>
    <tableColumn id="5" xr3:uid="{EAB2751D-5D1A-4BBE-851A-BC07F1DF9162}" uniqueName="5" name="rata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221C46-47D4-4092-BB28-F9D4E32A9683}" name="nip_firm6" displayName="nip_firm6" ref="L1:M61" tableType="queryTable" totalsRowShown="0">
  <autoFilter ref="L1:M61" xr:uid="{FE221C46-47D4-4092-BB28-F9D4E32A9683}"/>
  <tableColumns count="2">
    <tableColumn id="1" xr3:uid="{5FD8D17B-ACE0-421E-987C-0224108600F6}" uniqueName="1" name="NIP" queryTableFieldId="1"/>
    <tableColumn id="2" xr3:uid="{A9A14885-0DE9-4BA3-9A21-A6EDCC51FCA7}" uniqueName="2" name="firma" queryTableFieldId="2" dataDxf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0047-1750-4744-9C93-9353426F667C}">
  <dimension ref="A1:R410"/>
  <sheetViews>
    <sheetView workbookViewId="0">
      <selection activeCell="Q6" sqref="Q6:R8"/>
    </sheetView>
  </sheetViews>
  <sheetFormatPr defaultRowHeight="15" x14ac:dyDescent="0.25"/>
  <cols>
    <col min="1" max="1" width="8.28515625" bestFit="1" customWidth="1"/>
    <col min="2" max="3" width="22.85546875" bestFit="1" customWidth="1"/>
    <col min="4" max="4" width="6.42578125" bestFit="1" customWidth="1"/>
    <col min="6" max="6" width="11" bestFit="1" customWidth="1"/>
    <col min="7" max="7" width="6.42578125" bestFit="1" customWidth="1"/>
    <col min="8" max="8" width="7.5703125" bestFit="1" customWidth="1"/>
    <col min="9" max="9" width="15" bestFit="1" customWidth="1"/>
    <col min="10" max="10" width="6.7109375" bestFit="1" customWidth="1"/>
    <col min="12" max="12" width="11" bestFit="1" customWidth="1"/>
    <col min="13" max="13" width="21.42578125" bestFit="1" customWidth="1"/>
    <col min="17" max="17" width="17.7109375" bestFit="1" customWidth="1"/>
    <col min="18" max="18" width="17.42578125" bestFit="1" customWidth="1"/>
  </cols>
  <sheetData>
    <row r="1" spans="1:18" x14ac:dyDescent="0.25">
      <c r="A1" s="2" t="s">
        <v>0</v>
      </c>
      <c r="B1" s="3" t="s">
        <v>1</v>
      </c>
      <c r="C1" s="3" t="s">
        <v>2</v>
      </c>
      <c r="D1" s="4" t="s">
        <v>3</v>
      </c>
      <c r="F1" t="s">
        <v>1076</v>
      </c>
      <c r="G1" t="s">
        <v>0</v>
      </c>
      <c r="H1" t="s">
        <v>1077</v>
      </c>
      <c r="I1" t="s">
        <v>1078</v>
      </c>
      <c r="J1" t="s">
        <v>1079</v>
      </c>
      <c r="L1" t="s">
        <v>1076</v>
      </c>
      <c r="M1" t="s">
        <v>1419</v>
      </c>
      <c r="Q1" s="8" t="s">
        <v>1482</v>
      </c>
      <c r="R1" t="s">
        <v>1483</v>
      </c>
    </row>
    <row r="2" spans="1:18" x14ac:dyDescent="0.25">
      <c r="A2" s="5" t="s">
        <v>4</v>
      </c>
      <c r="B2" s="6" t="s">
        <v>5</v>
      </c>
      <c r="C2" s="6" t="s">
        <v>6</v>
      </c>
      <c r="D2" s="7" t="s">
        <v>7</v>
      </c>
      <c r="F2">
        <v>6727559092</v>
      </c>
      <c r="G2" s="1" t="s">
        <v>869</v>
      </c>
      <c r="H2" s="1" t="s">
        <v>1080</v>
      </c>
      <c r="I2" s="1" t="s">
        <v>1081</v>
      </c>
      <c r="J2">
        <v>1240</v>
      </c>
      <c r="L2">
        <v>2394072755</v>
      </c>
      <c r="M2" s="1" t="s">
        <v>1420</v>
      </c>
      <c r="Q2" s="9" t="s">
        <v>1081</v>
      </c>
      <c r="R2" s="1">
        <v>391790</v>
      </c>
    </row>
    <row r="3" spans="1:18" x14ac:dyDescent="0.25">
      <c r="A3" s="2" t="s">
        <v>8</v>
      </c>
      <c r="B3" s="3" t="s">
        <v>9</v>
      </c>
      <c r="C3" s="3" t="s">
        <v>10</v>
      </c>
      <c r="D3" s="4" t="s">
        <v>7</v>
      </c>
      <c r="F3">
        <v>3866883575</v>
      </c>
      <c r="G3" s="1" t="s">
        <v>434</v>
      </c>
      <c r="H3" s="1" t="s">
        <v>1082</v>
      </c>
      <c r="I3" s="1" t="s">
        <v>1081</v>
      </c>
      <c r="J3">
        <v>3022</v>
      </c>
      <c r="L3">
        <v>1599095267</v>
      </c>
      <c r="M3" s="1" t="s">
        <v>1421</v>
      </c>
      <c r="Q3" s="9" t="s">
        <v>1087</v>
      </c>
      <c r="R3" s="1">
        <v>400713</v>
      </c>
    </row>
    <row r="4" spans="1:18" x14ac:dyDescent="0.25">
      <c r="A4" s="5" t="s">
        <v>11</v>
      </c>
      <c r="B4" s="6" t="s">
        <v>12</v>
      </c>
      <c r="C4" s="6" t="s">
        <v>13</v>
      </c>
      <c r="D4" s="7" t="s">
        <v>7</v>
      </c>
      <c r="F4">
        <v>1165493421</v>
      </c>
      <c r="G4" s="1" t="s">
        <v>14</v>
      </c>
      <c r="H4" s="1" t="s">
        <v>1083</v>
      </c>
      <c r="I4" s="1" t="s">
        <v>1081</v>
      </c>
      <c r="J4">
        <v>1770</v>
      </c>
      <c r="L4">
        <v>5341884086</v>
      </c>
      <c r="M4" s="1" t="s">
        <v>1422</v>
      </c>
      <c r="Q4" s="9" t="s">
        <v>1481</v>
      </c>
      <c r="R4" s="1">
        <v>792503</v>
      </c>
    </row>
    <row r="5" spans="1:18" x14ac:dyDescent="0.25">
      <c r="A5" s="2" t="s">
        <v>14</v>
      </c>
      <c r="B5" s="3" t="s">
        <v>15</v>
      </c>
      <c r="C5" s="3" t="s">
        <v>16</v>
      </c>
      <c r="D5" s="4" t="s">
        <v>7</v>
      </c>
      <c r="F5">
        <v>2138598159</v>
      </c>
      <c r="G5" s="1" t="s">
        <v>143</v>
      </c>
      <c r="H5" s="1" t="s">
        <v>1084</v>
      </c>
      <c r="I5" s="1" t="s">
        <v>1081</v>
      </c>
      <c r="J5">
        <v>2272</v>
      </c>
      <c r="L5">
        <v>1818291355</v>
      </c>
      <c r="M5" s="1" t="s">
        <v>1423</v>
      </c>
    </row>
    <row r="6" spans="1:18" x14ac:dyDescent="0.25">
      <c r="A6" s="5" t="s">
        <v>17</v>
      </c>
      <c r="B6" s="6" t="s">
        <v>18</v>
      </c>
      <c r="C6" s="6" t="s">
        <v>19</v>
      </c>
      <c r="D6" s="7" t="s">
        <v>7</v>
      </c>
      <c r="F6">
        <v>1617995032</v>
      </c>
      <c r="G6" s="1" t="s">
        <v>892</v>
      </c>
      <c r="H6" s="1" t="s">
        <v>1085</v>
      </c>
      <c r="I6" s="1" t="s">
        <v>1081</v>
      </c>
      <c r="J6">
        <v>2253</v>
      </c>
      <c r="L6">
        <v>1361555378</v>
      </c>
      <c r="M6" s="1" t="s">
        <v>1424</v>
      </c>
      <c r="Q6" s="10" t="s">
        <v>1482</v>
      </c>
      <c r="R6" s="10" t="s">
        <v>1483</v>
      </c>
    </row>
    <row r="7" spans="1:18" x14ac:dyDescent="0.25">
      <c r="A7" s="2" t="s">
        <v>20</v>
      </c>
      <c r="B7" s="3" t="s">
        <v>21</v>
      </c>
      <c r="C7" s="3" t="s">
        <v>21</v>
      </c>
      <c r="D7" s="4" t="s">
        <v>22</v>
      </c>
      <c r="F7">
        <v>2625657803</v>
      </c>
      <c r="G7" s="1" t="s">
        <v>14</v>
      </c>
      <c r="H7" s="1" t="s">
        <v>1086</v>
      </c>
      <c r="I7" s="1" t="s">
        <v>1087</v>
      </c>
      <c r="J7">
        <v>2349</v>
      </c>
      <c r="L7">
        <v>2869229213</v>
      </c>
      <c r="M7" s="1" t="s">
        <v>1425</v>
      </c>
      <c r="Q7" s="11" t="s">
        <v>1484</v>
      </c>
      <c r="R7" s="12">
        <v>391790</v>
      </c>
    </row>
    <row r="8" spans="1:18" x14ac:dyDescent="0.25">
      <c r="A8" s="5" t="s">
        <v>23</v>
      </c>
      <c r="B8" s="6" t="s">
        <v>24</v>
      </c>
      <c r="C8" s="6" t="s">
        <v>25</v>
      </c>
      <c r="D8" s="7" t="s">
        <v>7</v>
      </c>
      <c r="F8">
        <v>6758177505</v>
      </c>
      <c r="G8" s="1" t="s">
        <v>869</v>
      </c>
      <c r="H8" s="1" t="s">
        <v>1088</v>
      </c>
      <c r="I8" s="1" t="s">
        <v>1087</v>
      </c>
      <c r="J8">
        <v>2154</v>
      </c>
      <c r="L8">
        <v>5528435390</v>
      </c>
      <c r="M8" s="1" t="s">
        <v>1426</v>
      </c>
      <c r="Q8" s="11" t="s">
        <v>1485</v>
      </c>
      <c r="R8" s="12">
        <v>400713</v>
      </c>
    </row>
    <row r="9" spans="1:18" x14ac:dyDescent="0.25">
      <c r="A9" s="2" t="s">
        <v>26</v>
      </c>
      <c r="B9" s="3" t="s">
        <v>27</v>
      </c>
      <c r="C9" s="3" t="s">
        <v>28</v>
      </c>
      <c r="D9" s="4" t="s">
        <v>7</v>
      </c>
      <c r="F9">
        <v>4531538788</v>
      </c>
      <c r="G9" s="1" t="s">
        <v>14</v>
      </c>
      <c r="H9" s="1" t="s">
        <v>1089</v>
      </c>
      <c r="I9" s="1" t="s">
        <v>1081</v>
      </c>
      <c r="J9">
        <v>2385</v>
      </c>
      <c r="L9">
        <v>2625657803</v>
      </c>
      <c r="M9" s="1" t="s">
        <v>1427</v>
      </c>
    </row>
    <row r="10" spans="1:18" x14ac:dyDescent="0.25">
      <c r="A10" s="5" t="s">
        <v>29</v>
      </c>
      <c r="B10" s="6" t="s">
        <v>30</v>
      </c>
      <c r="C10" s="6" t="s">
        <v>31</v>
      </c>
      <c r="D10" s="7" t="s">
        <v>7</v>
      </c>
      <c r="F10">
        <v>2138598159</v>
      </c>
      <c r="G10" s="1" t="s">
        <v>143</v>
      </c>
      <c r="H10" s="1" t="s">
        <v>1090</v>
      </c>
      <c r="I10" s="1" t="s">
        <v>1087</v>
      </c>
      <c r="J10">
        <v>2370</v>
      </c>
      <c r="L10">
        <v>1871447797</v>
      </c>
      <c r="M10" s="1" t="s">
        <v>1428</v>
      </c>
    </row>
    <row r="11" spans="1:18" x14ac:dyDescent="0.25">
      <c r="A11" s="2" t="s">
        <v>32</v>
      </c>
      <c r="B11" s="3" t="s">
        <v>33</v>
      </c>
      <c r="C11" s="3" t="s">
        <v>21</v>
      </c>
      <c r="D11" s="4" t="s">
        <v>7</v>
      </c>
      <c r="F11">
        <v>1818291355</v>
      </c>
      <c r="G11" s="1" t="s">
        <v>14</v>
      </c>
      <c r="H11" s="1" t="s">
        <v>1091</v>
      </c>
      <c r="I11" s="1" t="s">
        <v>1081</v>
      </c>
      <c r="J11">
        <v>1862</v>
      </c>
      <c r="L11">
        <v>4241680809</v>
      </c>
      <c r="M11" s="1" t="s">
        <v>1429</v>
      </c>
    </row>
    <row r="12" spans="1:18" x14ac:dyDescent="0.25">
      <c r="A12" s="5" t="s">
        <v>34</v>
      </c>
      <c r="B12" s="6" t="s">
        <v>31</v>
      </c>
      <c r="C12" s="6" t="s">
        <v>31</v>
      </c>
      <c r="D12" s="7" t="s">
        <v>22</v>
      </c>
      <c r="F12">
        <v>2599394621</v>
      </c>
      <c r="G12" s="1" t="s">
        <v>14</v>
      </c>
      <c r="H12" s="1" t="s">
        <v>1092</v>
      </c>
      <c r="I12" s="1" t="s">
        <v>1087</v>
      </c>
      <c r="J12">
        <v>2508</v>
      </c>
      <c r="L12">
        <v>3318203338</v>
      </c>
      <c r="M12" s="1" t="s">
        <v>1430</v>
      </c>
    </row>
    <row r="13" spans="1:18" x14ac:dyDescent="0.25">
      <c r="A13" s="2" t="s">
        <v>35</v>
      </c>
      <c r="B13" s="3" t="s">
        <v>36</v>
      </c>
      <c r="C13" s="3" t="s">
        <v>37</v>
      </c>
      <c r="D13" s="4" t="s">
        <v>7</v>
      </c>
      <c r="F13">
        <v>4653095092</v>
      </c>
      <c r="G13" s="1" t="s">
        <v>527</v>
      </c>
      <c r="H13" s="1" t="s">
        <v>1093</v>
      </c>
      <c r="I13" s="1" t="s">
        <v>1081</v>
      </c>
      <c r="J13">
        <v>2502</v>
      </c>
      <c r="L13">
        <v>1524870307</v>
      </c>
      <c r="M13" s="1" t="s">
        <v>1431</v>
      </c>
    </row>
    <row r="14" spans="1:18" x14ac:dyDescent="0.25">
      <c r="A14" s="5" t="s">
        <v>38</v>
      </c>
      <c r="B14" s="6" t="s">
        <v>36</v>
      </c>
      <c r="C14" s="6" t="s">
        <v>39</v>
      </c>
      <c r="D14" s="7" t="s">
        <v>7</v>
      </c>
      <c r="F14">
        <v>5229945534</v>
      </c>
      <c r="G14" s="1" t="s">
        <v>14</v>
      </c>
      <c r="H14" s="1" t="s">
        <v>1094</v>
      </c>
      <c r="I14" s="1" t="s">
        <v>1087</v>
      </c>
      <c r="J14">
        <v>2674</v>
      </c>
      <c r="L14">
        <v>1581329071</v>
      </c>
      <c r="M14" s="1" t="s">
        <v>1432</v>
      </c>
    </row>
    <row r="15" spans="1:18" x14ac:dyDescent="0.25">
      <c r="A15" s="2" t="s">
        <v>40</v>
      </c>
      <c r="B15" s="3" t="s">
        <v>39</v>
      </c>
      <c r="C15" s="3" t="s">
        <v>39</v>
      </c>
      <c r="D15" s="4" t="s">
        <v>22</v>
      </c>
      <c r="F15">
        <v>3743661247</v>
      </c>
      <c r="G15" s="1" t="s">
        <v>14</v>
      </c>
      <c r="H15" s="1" t="s">
        <v>1095</v>
      </c>
      <c r="I15" s="1" t="s">
        <v>1087</v>
      </c>
      <c r="J15">
        <v>2176</v>
      </c>
      <c r="L15">
        <v>3114182744</v>
      </c>
      <c r="M15" s="1" t="s">
        <v>1433</v>
      </c>
    </row>
    <row r="16" spans="1:18" x14ac:dyDescent="0.25">
      <c r="A16" s="5" t="s">
        <v>41</v>
      </c>
      <c r="B16" s="6" t="s">
        <v>42</v>
      </c>
      <c r="C16" s="6" t="s">
        <v>43</v>
      </c>
      <c r="D16" s="7" t="s">
        <v>7</v>
      </c>
      <c r="F16">
        <v>4779174699</v>
      </c>
      <c r="G16" s="1" t="s">
        <v>1003</v>
      </c>
      <c r="H16" s="1" t="s">
        <v>1096</v>
      </c>
      <c r="I16" s="1" t="s">
        <v>1087</v>
      </c>
      <c r="J16">
        <v>1875</v>
      </c>
      <c r="L16">
        <v>3743661247</v>
      </c>
      <c r="M16" s="1" t="s">
        <v>1434</v>
      </c>
    </row>
    <row r="17" spans="1:13" x14ac:dyDescent="0.25">
      <c r="A17" s="2" t="s">
        <v>44</v>
      </c>
      <c r="B17" s="3" t="s">
        <v>45</v>
      </c>
      <c r="C17" s="3" t="s">
        <v>46</v>
      </c>
      <c r="D17" s="4" t="s">
        <v>7</v>
      </c>
      <c r="F17">
        <v>4715154852</v>
      </c>
      <c r="G17" s="1" t="s">
        <v>1003</v>
      </c>
      <c r="H17" s="1" t="s">
        <v>1097</v>
      </c>
      <c r="I17" s="1" t="s">
        <v>1081</v>
      </c>
      <c r="J17">
        <v>2520</v>
      </c>
      <c r="L17">
        <v>5185759244</v>
      </c>
      <c r="M17" s="1" t="s">
        <v>1435</v>
      </c>
    </row>
    <row r="18" spans="1:13" x14ac:dyDescent="0.25">
      <c r="A18" s="5" t="s">
        <v>47</v>
      </c>
      <c r="B18" s="6" t="s">
        <v>48</v>
      </c>
      <c r="C18" s="6" t="s">
        <v>49</v>
      </c>
      <c r="D18" s="7" t="s">
        <v>7</v>
      </c>
      <c r="F18">
        <v>6758177505</v>
      </c>
      <c r="G18" s="1" t="s">
        <v>869</v>
      </c>
      <c r="H18" s="1" t="s">
        <v>1098</v>
      </c>
      <c r="I18" s="1" t="s">
        <v>1081</v>
      </c>
      <c r="J18">
        <v>2984</v>
      </c>
      <c r="L18">
        <v>5229945534</v>
      </c>
      <c r="M18" s="1" t="s">
        <v>1436</v>
      </c>
    </row>
    <row r="19" spans="1:13" x14ac:dyDescent="0.25">
      <c r="A19" s="2" t="s">
        <v>50</v>
      </c>
      <c r="B19" s="3" t="s">
        <v>51</v>
      </c>
      <c r="C19" s="3" t="s">
        <v>52</v>
      </c>
      <c r="D19" s="4" t="s">
        <v>7</v>
      </c>
      <c r="F19">
        <v>2581219876</v>
      </c>
      <c r="G19" s="1" t="s">
        <v>141</v>
      </c>
      <c r="H19" s="1" t="s">
        <v>1099</v>
      </c>
      <c r="I19" s="1" t="s">
        <v>1087</v>
      </c>
      <c r="J19">
        <v>2685</v>
      </c>
      <c r="L19">
        <v>5266741491</v>
      </c>
      <c r="M19" s="1" t="s">
        <v>1437</v>
      </c>
    </row>
    <row r="20" spans="1:13" x14ac:dyDescent="0.25">
      <c r="A20" s="5" t="s">
        <v>53</v>
      </c>
      <c r="B20" s="6" t="s">
        <v>54</v>
      </c>
      <c r="C20" s="6" t="s">
        <v>55</v>
      </c>
      <c r="D20" s="7" t="s">
        <v>7</v>
      </c>
      <c r="F20">
        <v>3568004264</v>
      </c>
      <c r="G20" s="1" t="s">
        <v>428</v>
      </c>
      <c r="H20" s="1" t="s">
        <v>1100</v>
      </c>
      <c r="I20" s="1" t="s">
        <v>1081</v>
      </c>
      <c r="J20">
        <v>2438</v>
      </c>
      <c r="L20">
        <v>1246489959</v>
      </c>
      <c r="M20" s="1" t="s">
        <v>1438</v>
      </c>
    </row>
    <row r="21" spans="1:13" x14ac:dyDescent="0.25">
      <c r="A21" s="2" t="s">
        <v>56</v>
      </c>
      <c r="B21" s="3" t="s">
        <v>57</v>
      </c>
      <c r="C21" s="3" t="s">
        <v>58</v>
      </c>
      <c r="D21" s="4" t="s">
        <v>7</v>
      </c>
      <c r="F21">
        <v>6727559092</v>
      </c>
      <c r="G21" s="1" t="s">
        <v>869</v>
      </c>
      <c r="H21" s="1" t="s">
        <v>1101</v>
      </c>
      <c r="I21" s="1" t="s">
        <v>1087</v>
      </c>
      <c r="J21">
        <v>2435</v>
      </c>
      <c r="L21">
        <v>5418968184</v>
      </c>
      <c r="M21" s="1" t="s">
        <v>1439</v>
      </c>
    </row>
    <row r="22" spans="1:13" x14ac:dyDescent="0.25">
      <c r="A22" s="5" t="s">
        <v>59</v>
      </c>
      <c r="B22" s="6" t="s">
        <v>60</v>
      </c>
      <c r="C22" s="6" t="s">
        <v>61</v>
      </c>
      <c r="D22" s="7" t="s">
        <v>7</v>
      </c>
      <c r="F22">
        <v>5418968184</v>
      </c>
      <c r="G22" s="1" t="s">
        <v>14</v>
      </c>
      <c r="H22" s="1" t="s">
        <v>1102</v>
      </c>
      <c r="I22" s="1" t="s">
        <v>1081</v>
      </c>
      <c r="J22">
        <v>1806</v>
      </c>
      <c r="L22">
        <v>1165493421</v>
      </c>
      <c r="M22" s="1" t="s">
        <v>1440</v>
      </c>
    </row>
    <row r="23" spans="1:13" x14ac:dyDescent="0.25">
      <c r="A23" s="2" t="s">
        <v>62</v>
      </c>
      <c r="B23" s="3" t="s">
        <v>63</v>
      </c>
      <c r="C23" s="3" t="s">
        <v>64</v>
      </c>
      <c r="D23" s="4" t="s">
        <v>7</v>
      </c>
      <c r="F23">
        <v>4956781088</v>
      </c>
      <c r="G23" s="1" t="s">
        <v>184</v>
      </c>
      <c r="H23" s="1" t="s">
        <v>1103</v>
      </c>
      <c r="I23" s="1" t="s">
        <v>1087</v>
      </c>
      <c r="J23">
        <v>2156</v>
      </c>
      <c r="L23">
        <v>4580185570</v>
      </c>
      <c r="M23" s="1" t="s">
        <v>1441</v>
      </c>
    </row>
    <row r="24" spans="1:13" x14ac:dyDescent="0.25">
      <c r="A24" s="5" t="s">
        <v>65</v>
      </c>
      <c r="B24" s="6" t="s">
        <v>63</v>
      </c>
      <c r="C24" s="6" t="s">
        <v>66</v>
      </c>
      <c r="D24" s="7" t="s">
        <v>7</v>
      </c>
      <c r="F24">
        <v>5341884086</v>
      </c>
      <c r="G24" s="1" t="s">
        <v>14</v>
      </c>
      <c r="H24" s="1" t="s">
        <v>1104</v>
      </c>
      <c r="I24" s="1" t="s">
        <v>1087</v>
      </c>
      <c r="J24">
        <v>1908</v>
      </c>
      <c r="L24">
        <v>2599394621</v>
      </c>
      <c r="M24" s="1" t="s">
        <v>1442</v>
      </c>
    </row>
    <row r="25" spans="1:13" x14ac:dyDescent="0.25">
      <c r="A25" s="2" t="s">
        <v>67</v>
      </c>
      <c r="B25" s="3" t="s">
        <v>68</v>
      </c>
      <c r="C25" s="3" t="s">
        <v>69</v>
      </c>
      <c r="D25" s="4" t="s">
        <v>7</v>
      </c>
      <c r="F25">
        <v>1939065269</v>
      </c>
      <c r="G25" s="1" t="s">
        <v>636</v>
      </c>
      <c r="H25" s="1" t="s">
        <v>1105</v>
      </c>
      <c r="I25" s="1" t="s">
        <v>1087</v>
      </c>
      <c r="J25">
        <v>3156</v>
      </c>
      <c r="L25">
        <v>4531538788</v>
      </c>
      <c r="M25" s="1" t="s">
        <v>1443</v>
      </c>
    </row>
    <row r="26" spans="1:13" x14ac:dyDescent="0.25">
      <c r="A26" s="5" t="s">
        <v>70</v>
      </c>
      <c r="B26" s="6" t="s">
        <v>71</v>
      </c>
      <c r="C26" s="6" t="s">
        <v>72</v>
      </c>
      <c r="D26" s="7" t="s">
        <v>7</v>
      </c>
      <c r="F26">
        <v>4715154852</v>
      </c>
      <c r="G26" s="1" t="s">
        <v>1003</v>
      </c>
      <c r="H26" s="1" t="s">
        <v>1106</v>
      </c>
      <c r="I26" s="1" t="s">
        <v>1081</v>
      </c>
      <c r="J26">
        <v>2276</v>
      </c>
      <c r="L26">
        <v>4458233905</v>
      </c>
      <c r="M26" s="1" t="s">
        <v>1444</v>
      </c>
    </row>
    <row r="27" spans="1:13" x14ac:dyDescent="0.25">
      <c r="A27" s="2" t="s">
        <v>73</v>
      </c>
      <c r="B27" s="3" t="s">
        <v>74</v>
      </c>
      <c r="C27" s="3" t="s">
        <v>75</v>
      </c>
      <c r="D27" s="4" t="s">
        <v>7</v>
      </c>
      <c r="F27">
        <v>5115061689</v>
      </c>
      <c r="G27" s="1" t="s">
        <v>704</v>
      </c>
      <c r="H27" s="1" t="s">
        <v>1107</v>
      </c>
      <c r="I27" s="1" t="s">
        <v>1087</v>
      </c>
      <c r="J27">
        <v>1627</v>
      </c>
      <c r="L27">
        <v>4326751508</v>
      </c>
      <c r="M27" s="1" t="s">
        <v>1445</v>
      </c>
    </row>
    <row r="28" spans="1:13" x14ac:dyDescent="0.25">
      <c r="A28" s="5" t="s">
        <v>76</v>
      </c>
      <c r="B28" s="6" t="s">
        <v>77</v>
      </c>
      <c r="C28" s="6" t="s">
        <v>78</v>
      </c>
      <c r="D28" s="7" t="s">
        <v>7</v>
      </c>
      <c r="F28">
        <v>4326751508</v>
      </c>
      <c r="G28" s="1" t="s">
        <v>40</v>
      </c>
      <c r="H28" s="1" t="s">
        <v>1108</v>
      </c>
      <c r="I28" s="1" t="s">
        <v>1087</v>
      </c>
      <c r="J28">
        <v>2060</v>
      </c>
      <c r="L28">
        <v>4761158900</v>
      </c>
      <c r="M28" s="1" t="s">
        <v>1446</v>
      </c>
    </row>
    <row r="29" spans="1:13" x14ac:dyDescent="0.25">
      <c r="A29" s="2" t="s">
        <v>79</v>
      </c>
      <c r="B29" s="3" t="s">
        <v>78</v>
      </c>
      <c r="C29" s="3" t="s">
        <v>78</v>
      </c>
      <c r="D29" s="4" t="s">
        <v>22</v>
      </c>
      <c r="F29">
        <v>1581329071</v>
      </c>
      <c r="G29" s="1" t="s">
        <v>14</v>
      </c>
      <c r="H29" s="1" t="s">
        <v>1109</v>
      </c>
      <c r="I29" s="1" t="s">
        <v>1087</v>
      </c>
      <c r="J29">
        <v>2236</v>
      </c>
      <c r="L29">
        <v>4653095092</v>
      </c>
      <c r="M29" s="1" t="s">
        <v>1447</v>
      </c>
    </row>
    <row r="30" spans="1:13" x14ac:dyDescent="0.25">
      <c r="A30" s="5" t="s">
        <v>80</v>
      </c>
      <c r="B30" s="6" t="s">
        <v>81</v>
      </c>
      <c r="C30" s="6" t="s">
        <v>81</v>
      </c>
      <c r="D30" s="7" t="s">
        <v>22</v>
      </c>
      <c r="F30">
        <v>4326751508</v>
      </c>
      <c r="G30" s="1" t="s">
        <v>40</v>
      </c>
      <c r="H30" s="1" t="s">
        <v>1110</v>
      </c>
      <c r="I30" s="1" t="s">
        <v>1081</v>
      </c>
      <c r="J30">
        <v>2000</v>
      </c>
      <c r="L30">
        <v>3678947206</v>
      </c>
      <c r="M30" s="1" t="s">
        <v>1448</v>
      </c>
    </row>
    <row r="31" spans="1:13" x14ac:dyDescent="0.25">
      <c r="A31" s="2" t="s">
        <v>82</v>
      </c>
      <c r="B31" s="3" t="s">
        <v>83</v>
      </c>
      <c r="C31" s="3" t="s">
        <v>84</v>
      </c>
      <c r="D31" s="4" t="s">
        <v>7</v>
      </c>
      <c r="F31">
        <v>3470453173</v>
      </c>
      <c r="G31" s="1" t="s">
        <v>85</v>
      </c>
      <c r="H31" s="1" t="s">
        <v>1111</v>
      </c>
      <c r="I31" s="1" t="s">
        <v>1081</v>
      </c>
      <c r="J31">
        <v>2040</v>
      </c>
      <c r="L31">
        <v>2245871126</v>
      </c>
      <c r="M31" s="1" t="s">
        <v>1449</v>
      </c>
    </row>
    <row r="32" spans="1:13" x14ac:dyDescent="0.25">
      <c r="A32" s="5" t="s">
        <v>85</v>
      </c>
      <c r="B32" s="6" t="s">
        <v>86</v>
      </c>
      <c r="C32" s="6" t="s">
        <v>86</v>
      </c>
      <c r="D32" s="7" t="s">
        <v>22</v>
      </c>
      <c r="F32">
        <v>1433397952</v>
      </c>
      <c r="G32" s="1" t="s">
        <v>314</v>
      </c>
      <c r="H32" s="1" t="s">
        <v>1112</v>
      </c>
      <c r="I32" s="1" t="s">
        <v>1087</v>
      </c>
      <c r="J32">
        <v>2734</v>
      </c>
      <c r="L32">
        <v>5459753232</v>
      </c>
      <c r="M32" s="1" t="s">
        <v>1450</v>
      </c>
    </row>
    <row r="33" spans="1:13" x14ac:dyDescent="0.25">
      <c r="A33" s="2" t="s">
        <v>87</v>
      </c>
      <c r="B33" s="3" t="s">
        <v>88</v>
      </c>
      <c r="C33" s="3" t="s">
        <v>89</v>
      </c>
      <c r="D33" s="4" t="s">
        <v>7</v>
      </c>
      <c r="F33">
        <v>3783578981</v>
      </c>
      <c r="G33" s="1" t="s">
        <v>405</v>
      </c>
      <c r="H33" s="1" t="s">
        <v>1113</v>
      </c>
      <c r="I33" s="1" t="s">
        <v>1081</v>
      </c>
      <c r="J33">
        <v>1935</v>
      </c>
      <c r="L33">
        <v>5514533376</v>
      </c>
      <c r="M33" s="1" t="s">
        <v>1451</v>
      </c>
    </row>
    <row r="34" spans="1:13" x14ac:dyDescent="0.25">
      <c r="A34" s="5" t="s">
        <v>90</v>
      </c>
      <c r="B34" s="6" t="s">
        <v>91</v>
      </c>
      <c r="C34" s="6" t="s">
        <v>86</v>
      </c>
      <c r="D34" s="7" t="s">
        <v>7</v>
      </c>
      <c r="F34">
        <v>2581219876</v>
      </c>
      <c r="G34" s="1" t="s">
        <v>141</v>
      </c>
      <c r="H34" s="1" t="s">
        <v>1114</v>
      </c>
      <c r="I34" s="1" t="s">
        <v>1087</v>
      </c>
      <c r="J34">
        <v>2818</v>
      </c>
      <c r="L34">
        <v>1820566794</v>
      </c>
      <c r="M34" s="1" t="s">
        <v>1452</v>
      </c>
    </row>
    <row r="35" spans="1:13" x14ac:dyDescent="0.25">
      <c r="A35" s="2" t="s">
        <v>92</v>
      </c>
      <c r="B35" s="3" t="s">
        <v>93</v>
      </c>
      <c r="C35" s="3" t="s">
        <v>94</v>
      </c>
      <c r="D35" s="4" t="s">
        <v>7</v>
      </c>
      <c r="F35">
        <v>4796841112</v>
      </c>
      <c r="G35" s="1" t="s">
        <v>533</v>
      </c>
      <c r="H35" s="1" t="s">
        <v>1115</v>
      </c>
      <c r="I35" s="1" t="s">
        <v>1081</v>
      </c>
      <c r="J35">
        <v>2668</v>
      </c>
      <c r="L35">
        <v>3783578981</v>
      </c>
      <c r="M35" s="1" t="s">
        <v>1453</v>
      </c>
    </row>
    <row r="36" spans="1:13" x14ac:dyDescent="0.25">
      <c r="A36" s="5" t="s">
        <v>95</v>
      </c>
      <c r="B36" s="6" t="s">
        <v>96</v>
      </c>
      <c r="C36" s="6" t="s">
        <v>97</v>
      </c>
      <c r="D36" s="7" t="s">
        <v>7</v>
      </c>
      <c r="F36">
        <v>4715154852</v>
      </c>
      <c r="G36" s="1" t="s">
        <v>1003</v>
      </c>
      <c r="H36" s="1" t="s">
        <v>1116</v>
      </c>
      <c r="I36" s="1" t="s">
        <v>1087</v>
      </c>
      <c r="J36">
        <v>2700</v>
      </c>
      <c r="L36">
        <v>1127056356</v>
      </c>
      <c r="M36" s="1" t="s">
        <v>1454</v>
      </c>
    </row>
    <row r="37" spans="1:13" x14ac:dyDescent="0.25">
      <c r="A37" s="2" t="s">
        <v>98</v>
      </c>
      <c r="B37" s="3" t="s">
        <v>99</v>
      </c>
      <c r="C37" s="3" t="s">
        <v>99</v>
      </c>
      <c r="D37" s="4" t="s">
        <v>22</v>
      </c>
      <c r="F37">
        <v>4241680809</v>
      </c>
      <c r="G37" s="1" t="s">
        <v>14</v>
      </c>
      <c r="H37" s="1" t="s">
        <v>1117</v>
      </c>
      <c r="I37" s="1" t="s">
        <v>1087</v>
      </c>
      <c r="J37">
        <v>2496</v>
      </c>
      <c r="L37">
        <v>1278408463</v>
      </c>
      <c r="M37" s="1" t="s">
        <v>1455</v>
      </c>
    </row>
    <row r="38" spans="1:13" x14ac:dyDescent="0.25">
      <c r="A38" s="5" t="s">
        <v>100</v>
      </c>
      <c r="B38" s="6" t="s">
        <v>101</v>
      </c>
      <c r="C38" s="6" t="s">
        <v>102</v>
      </c>
      <c r="D38" s="7" t="s">
        <v>7</v>
      </c>
      <c r="F38">
        <v>1617995032</v>
      </c>
      <c r="G38" s="1" t="s">
        <v>892</v>
      </c>
      <c r="H38" s="1" t="s">
        <v>1118</v>
      </c>
      <c r="I38" s="1" t="s">
        <v>1087</v>
      </c>
      <c r="J38">
        <v>2148</v>
      </c>
      <c r="L38">
        <v>3866883575</v>
      </c>
      <c r="M38" s="1" t="s">
        <v>1456</v>
      </c>
    </row>
    <row r="39" spans="1:13" x14ac:dyDescent="0.25">
      <c r="A39" s="2" t="s">
        <v>103</v>
      </c>
      <c r="B39" s="3" t="s">
        <v>104</v>
      </c>
      <c r="C39" s="3" t="s">
        <v>105</v>
      </c>
      <c r="D39" s="4" t="s">
        <v>7</v>
      </c>
      <c r="F39">
        <v>1433397952</v>
      </c>
      <c r="G39" s="1" t="s">
        <v>314</v>
      </c>
      <c r="H39" s="1" t="s">
        <v>1119</v>
      </c>
      <c r="I39" s="1" t="s">
        <v>1081</v>
      </c>
      <c r="J39">
        <v>2160</v>
      </c>
      <c r="L39">
        <v>2138598159</v>
      </c>
      <c r="M39" s="1" t="s">
        <v>1457</v>
      </c>
    </row>
    <row r="40" spans="1:13" x14ac:dyDescent="0.25">
      <c r="A40" s="5" t="s">
        <v>106</v>
      </c>
      <c r="B40" s="6" t="s">
        <v>107</v>
      </c>
      <c r="C40" s="6" t="s">
        <v>108</v>
      </c>
      <c r="D40" s="7" t="s">
        <v>7</v>
      </c>
      <c r="F40">
        <v>4326751508</v>
      </c>
      <c r="G40" s="1" t="s">
        <v>405</v>
      </c>
      <c r="H40" s="1" t="s">
        <v>1120</v>
      </c>
      <c r="I40" s="1" t="s">
        <v>1087</v>
      </c>
      <c r="J40">
        <v>2056</v>
      </c>
      <c r="L40">
        <v>2119268767</v>
      </c>
      <c r="M40" s="1" t="s">
        <v>1458</v>
      </c>
    </row>
    <row r="41" spans="1:13" x14ac:dyDescent="0.25">
      <c r="A41" s="2" t="s">
        <v>109</v>
      </c>
      <c r="B41" s="3" t="s">
        <v>110</v>
      </c>
      <c r="C41" s="3" t="s">
        <v>111</v>
      </c>
      <c r="D41" s="4" t="s">
        <v>7</v>
      </c>
      <c r="F41">
        <v>1246489959</v>
      </c>
      <c r="G41" s="1" t="s">
        <v>14</v>
      </c>
      <c r="H41" s="1" t="s">
        <v>1121</v>
      </c>
      <c r="I41" s="1" t="s">
        <v>1087</v>
      </c>
      <c r="J41">
        <v>1812</v>
      </c>
      <c r="L41">
        <v>1433397952</v>
      </c>
      <c r="M41" s="1" t="s">
        <v>1459</v>
      </c>
    </row>
    <row r="42" spans="1:13" x14ac:dyDescent="0.25">
      <c r="A42" s="5" t="s">
        <v>112</v>
      </c>
      <c r="B42" s="6" t="s">
        <v>113</v>
      </c>
      <c r="C42" s="6" t="s">
        <v>114</v>
      </c>
      <c r="D42" s="7" t="s">
        <v>7</v>
      </c>
      <c r="F42">
        <v>4241680809</v>
      </c>
      <c r="G42" s="1" t="s">
        <v>14</v>
      </c>
      <c r="H42" s="1" t="s">
        <v>1122</v>
      </c>
      <c r="I42" s="1" t="s">
        <v>1087</v>
      </c>
      <c r="J42">
        <v>2664</v>
      </c>
      <c r="L42">
        <v>3568004264</v>
      </c>
      <c r="M42" s="1" t="s">
        <v>1460</v>
      </c>
    </row>
    <row r="43" spans="1:13" x14ac:dyDescent="0.25">
      <c r="A43" s="2" t="s">
        <v>115</v>
      </c>
      <c r="B43" s="3" t="s">
        <v>116</v>
      </c>
      <c r="C43" s="3" t="s">
        <v>116</v>
      </c>
      <c r="D43" s="4" t="s">
        <v>22</v>
      </c>
      <c r="F43">
        <v>3470453173</v>
      </c>
      <c r="G43" s="1" t="s">
        <v>85</v>
      </c>
      <c r="H43" s="1" t="s">
        <v>1123</v>
      </c>
      <c r="I43" s="1" t="s">
        <v>1087</v>
      </c>
      <c r="J43">
        <v>2872</v>
      </c>
      <c r="L43">
        <v>4779174699</v>
      </c>
      <c r="M43" s="1" t="s">
        <v>1461</v>
      </c>
    </row>
    <row r="44" spans="1:13" x14ac:dyDescent="0.25">
      <c r="A44" s="5" t="s">
        <v>117</v>
      </c>
      <c r="B44" s="6" t="s">
        <v>118</v>
      </c>
      <c r="C44" s="6" t="s">
        <v>116</v>
      </c>
      <c r="D44" s="7" t="s">
        <v>7</v>
      </c>
      <c r="F44">
        <v>3568004264</v>
      </c>
      <c r="G44" s="1" t="s">
        <v>428</v>
      </c>
      <c r="H44" s="1" t="s">
        <v>1124</v>
      </c>
      <c r="I44" s="1" t="s">
        <v>1087</v>
      </c>
      <c r="J44">
        <v>1928</v>
      </c>
      <c r="L44">
        <v>3357631311</v>
      </c>
      <c r="M44" s="1" t="s">
        <v>1462</v>
      </c>
    </row>
    <row r="45" spans="1:13" x14ac:dyDescent="0.25">
      <c r="A45" s="2" t="s">
        <v>119</v>
      </c>
      <c r="B45" s="3" t="s">
        <v>120</v>
      </c>
      <c r="C45" s="3" t="s">
        <v>121</v>
      </c>
      <c r="D45" s="4" t="s">
        <v>7</v>
      </c>
      <c r="F45">
        <v>1617995032</v>
      </c>
      <c r="G45" s="1" t="s">
        <v>892</v>
      </c>
      <c r="H45" s="1" t="s">
        <v>1125</v>
      </c>
      <c r="I45" s="1" t="s">
        <v>1087</v>
      </c>
      <c r="J45">
        <v>2194</v>
      </c>
      <c r="L45">
        <v>2281651150</v>
      </c>
      <c r="M45" s="1" t="s">
        <v>1463</v>
      </c>
    </row>
    <row r="46" spans="1:13" x14ac:dyDescent="0.25">
      <c r="A46" s="5" t="s">
        <v>122</v>
      </c>
      <c r="B46" s="6" t="s">
        <v>123</v>
      </c>
      <c r="C46" s="6" t="s">
        <v>123</v>
      </c>
      <c r="D46" s="7" t="s">
        <v>22</v>
      </c>
      <c r="F46">
        <v>2119268767</v>
      </c>
      <c r="G46" s="1" t="s">
        <v>141</v>
      </c>
      <c r="H46" s="1" t="s">
        <v>1126</v>
      </c>
      <c r="I46" s="1" t="s">
        <v>1087</v>
      </c>
      <c r="J46">
        <v>2114</v>
      </c>
      <c r="L46">
        <v>1939065269</v>
      </c>
      <c r="M46" s="1" t="s">
        <v>1464</v>
      </c>
    </row>
    <row r="47" spans="1:13" x14ac:dyDescent="0.25">
      <c r="A47" s="2" t="s">
        <v>124</v>
      </c>
      <c r="B47" s="3" t="s">
        <v>125</v>
      </c>
      <c r="C47" s="3" t="s">
        <v>126</v>
      </c>
      <c r="D47" s="4" t="s">
        <v>7</v>
      </c>
      <c r="F47">
        <v>5341884086</v>
      </c>
      <c r="G47" s="1" t="s">
        <v>270</v>
      </c>
      <c r="H47" s="1" t="s">
        <v>1127</v>
      </c>
      <c r="I47" s="1" t="s">
        <v>1087</v>
      </c>
      <c r="J47">
        <v>2364</v>
      </c>
      <c r="L47">
        <v>5115061689</v>
      </c>
      <c r="M47" s="1" t="s">
        <v>1465</v>
      </c>
    </row>
    <row r="48" spans="1:13" x14ac:dyDescent="0.25">
      <c r="A48" s="5" t="s">
        <v>127</v>
      </c>
      <c r="B48" s="6" t="s">
        <v>128</v>
      </c>
      <c r="C48" s="6" t="s">
        <v>129</v>
      </c>
      <c r="D48" s="7" t="s">
        <v>7</v>
      </c>
      <c r="F48">
        <v>4779174699</v>
      </c>
      <c r="G48" s="1" t="s">
        <v>1003</v>
      </c>
      <c r="H48" s="1" t="s">
        <v>1128</v>
      </c>
      <c r="I48" s="1" t="s">
        <v>1087</v>
      </c>
      <c r="J48">
        <v>2462</v>
      </c>
      <c r="L48">
        <v>4796841112</v>
      </c>
      <c r="M48" s="1" t="s">
        <v>1466</v>
      </c>
    </row>
    <row r="49" spans="1:13" x14ac:dyDescent="0.25">
      <c r="A49" s="2" t="s">
        <v>130</v>
      </c>
      <c r="B49" s="3" t="s">
        <v>131</v>
      </c>
      <c r="C49" s="3" t="s">
        <v>132</v>
      </c>
      <c r="D49" s="4" t="s">
        <v>7</v>
      </c>
      <c r="F49">
        <v>1939065269</v>
      </c>
      <c r="G49" s="1" t="s">
        <v>636</v>
      </c>
      <c r="H49" s="1" t="s">
        <v>1129</v>
      </c>
      <c r="I49" s="1" t="s">
        <v>1087</v>
      </c>
      <c r="J49">
        <v>2696</v>
      </c>
      <c r="L49">
        <v>1617995032</v>
      </c>
      <c r="M49" s="1" t="s">
        <v>1467</v>
      </c>
    </row>
    <row r="50" spans="1:13" x14ac:dyDescent="0.25">
      <c r="A50" s="5" t="s">
        <v>133</v>
      </c>
      <c r="B50" s="6" t="s">
        <v>134</v>
      </c>
      <c r="C50" s="6" t="s">
        <v>135</v>
      </c>
      <c r="D50" s="7" t="s">
        <v>7</v>
      </c>
      <c r="F50">
        <v>1939065269</v>
      </c>
      <c r="G50" s="1" t="s">
        <v>636</v>
      </c>
      <c r="H50" s="1" t="s">
        <v>1130</v>
      </c>
      <c r="I50" s="1" t="s">
        <v>1081</v>
      </c>
      <c r="J50">
        <v>2073</v>
      </c>
      <c r="L50">
        <v>2214740049</v>
      </c>
      <c r="M50" s="1" t="s">
        <v>1468</v>
      </c>
    </row>
    <row r="51" spans="1:13" x14ac:dyDescent="0.25">
      <c r="A51" s="2" t="s">
        <v>136</v>
      </c>
      <c r="B51" s="3" t="s">
        <v>137</v>
      </c>
      <c r="C51" s="3" t="s">
        <v>138</v>
      </c>
      <c r="D51" s="4" t="s">
        <v>7</v>
      </c>
      <c r="F51">
        <v>5459753232</v>
      </c>
      <c r="G51" s="1" t="s">
        <v>737</v>
      </c>
      <c r="H51" s="1" t="s">
        <v>1131</v>
      </c>
      <c r="I51" s="1" t="s">
        <v>1087</v>
      </c>
      <c r="J51">
        <v>1629</v>
      </c>
      <c r="L51">
        <v>1620242236</v>
      </c>
      <c r="M51" s="1" t="s">
        <v>1469</v>
      </c>
    </row>
    <row r="52" spans="1:13" x14ac:dyDescent="0.25">
      <c r="A52" s="5" t="s">
        <v>139</v>
      </c>
      <c r="B52" s="6" t="s">
        <v>140</v>
      </c>
      <c r="C52" s="6" t="s">
        <v>140</v>
      </c>
      <c r="D52" s="7" t="s">
        <v>22</v>
      </c>
      <c r="F52">
        <v>4761158900</v>
      </c>
      <c r="G52" s="1" t="s">
        <v>294</v>
      </c>
      <c r="H52" s="1" t="s">
        <v>1132</v>
      </c>
      <c r="I52" s="1" t="s">
        <v>1087</v>
      </c>
      <c r="J52">
        <v>2139</v>
      </c>
      <c r="L52">
        <v>3579231044</v>
      </c>
      <c r="M52" s="1" t="s">
        <v>1470</v>
      </c>
    </row>
    <row r="53" spans="1:13" x14ac:dyDescent="0.25">
      <c r="A53" s="2" t="s">
        <v>141</v>
      </c>
      <c r="B53" s="3" t="s">
        <v>142</v>
      </c>
      <c r="C53" s="3" t="s">
        <v>140</v>
      </c>
      <c r="D53" s="4" t="s">
        <v>7</v>
      </c>
      <c r="F53">
        <v>1127056356</v>
      </c>
      <c r="G53" s="1" t="s">
        <v>317</v>
      </c>
      <c r="H53" s="1" t="s">
        <v>1133</v>
      </c>
      <c r="I53" s="1" t="s">
        <v>1087</v>
      </c>
      <c r="J53">
        <v>2944</v>
      </c>
      <c r="L53">
        <v>6727559092</v>
      </c>
      <c r="M53" s="1" t="s">
        <v>1471</v>
      </c>
    </row>
    <row r="54" spans="1:13" x14ac:dyDescent="0.25">
      <c r="A54" s="5" t="s">
        <v>143</v>
      </c>
      <c r="B54" s="6" t="s">
        <v>144</v>
      </c>
      <c r="C54" s="6" t="s">
        <v>145</v>
      </c>
      <c r="D54" s="7" t="s">
        <v>7</v>
      </c>
      <c r="F54">
        <v>1361555378</v>
      </c>
      <c r="G54" s="1" t="s">
        <v>270</v>
      </c>
      <c r="H54" s="1" t="s">
        <v>1134</v>
      </c>
      <c r="I54" s="1" t="s">
        <v>1081</v>
      </c>
      <c r="J54">
        <v>2250</v>
      </c>
      <c r="L54">
        <v>4956781088</v>
      </c>
      <c r="M54" s="1" t="s">
        <v>1472</v>
      </c>
    </row>
    <row r="55" spans="1:13" x14ac:dyDescent="0.25">
      <c r="A55" s="2" t="s">
        <v>146</v>
      </c>
      <c r="B55" s="3" t="s">
        <v>147</v>
      </c>
      <c r="C55" s="3" t="s">
        <v>148</v>
      </c>
      <c r="D55" s="4" t="s">
        <v>7</v>
      </c>
      <c r="F55">
        <v>1278408463</v>
      </c>
      <c r="G55" s="1" t="s">
        <v>314</v>
      </c>
      <c r="H55" s="1" t="s">
        <v>1135</v>
      </c>
      <c r="I55" s="1" t="s">
        <v>1087</v>
      </c>
      <c r="J55">
        <v>2190</v>
      </c>
      <c r="L55">
        <v>4715154852</v>
      </c>
      <c r="M55" s="1" t="s">
        <v>1473</v>
      </c>
    </row>
    <row r="56" spans="1:13" x14ac:dyDescent="0.25">
      <c r="A56" s="5" t="s">
        <v>149</v>
      </c>
      <c r="B56" s="6" t="s">
        <v>150</v>
      </c>
      <c r="C56" s="6" t="s">
        <v>150</v>
      </c>
      <c r="D56" s="7" t="s">
        <v>22</v>
      </c>
      <c r="F56">
        <v>3114182744</v>
      </c>
      <c r="G56" s="1" t="s">
        <v>270</v>
      </c>
      <c r="H56" s="1" t="s">
        <v>1136</v>
      </c>
      <c r="I56" s="1" t="s">
        <v>1087</v>
      </c>
      <c r="J56">
        <v>2074</v>
      </c>
      <c r="L56">
        <v>2581219876</v>
      </c>
      <c r="M56" s="1" t="s">
        <v>1474</v>
      </c>
    </row>
    <row r="57" spans="1:13" x14ac:dyDescent="0.25">
      <c r="A57" s="2" t="s">
        <v>151</v>
      </c>
      <c r="B57" s="3" t="s">
        <v>152</v>
      </c>
      <c r="C57" s="3" t="s">
        <v>153</v>
      </c>
      <c r="D57" s="4" t="s">
        <v>7</v>
      </c>
      <c r="F57">
        <v>4458233905</v>
      </c>
      <c r="G57" s="1" t="s">
        <v>1003</v>
      </c>
      <c r="H57" s="1" t="s">
        <v>1137</v>
      </c>
      <c r="I57" s="1" t="s">
        <v>1081</v>
      </c>
      <c r="J57">
        <v>1200</v>
      </c>
      <c r="L57">
        <v>3345883725</v>
      </c>
      <c r="M57" s="1" t="s">
        <v>1475</v>
      </c>
    </row>
    <row r="58" spans="1:13" x14ac:dyDescent="0.25">
      <c r="A58" s="5" t="s">
        <v>154</v>
      </c>
      <c r="B58" s="6" t="s">
        <v>155</v>
      </c>
      <c r="C58" s="6" t="s">
        <v>155</v>
      </c>
      <c r="D58" s="7" t="s">
        <v>22</v>
      </c>
      <c r="F58">
        <v>1617995032</v>
      </c>
      <c r="G58" s="1" t="s">
        <v>892</v>
      </c>
      <c r="H58" s="1" t="s">
        <v>1138</v>
      </c>
      <c r="I58" s="1" t="s">
        <v>1081</v>
      </c>
      <c r="J58">
        <v>1965</v>
      </c>
      <c r="L58">
        <v>5624201652</v>
      </c>
      <c r="M58" s="1" t="s">
        <v>1476</v>
      </c>
    </row>
    <row r="59" spans="1:13" x14ac:dyDescent="0.25">
      <c r="A59" s="2" t="s">
        <v>156</v>
      </c>
      <c r="B59" s="3" t="s">
        <v>157</v>
      </c>
      <c r="C59" s="3" t="s">
        <v>158</v>
      </c>
      <c r="D59" s="4" t="s">
        <v>7</v>
      </c>
      <c r="F59">
        <v>4761158900</v>
      </c>
      <c r="G59" s="1" t="s">
        <v>294</v>
      </c>
      <c r="H59" s="1" t="s">
        <v>1139</v>
      </c>
      <c r="I59" s="1" t="s">
        <v>1081</v>
      </c>
      <c r="J59">
        <v>1894</v>
      </c>
      <c r="L59">
        <v>5581610439</v>
      </c>
      <c r="M59" s="1" t="s">
        <v>1477</v>
      </c>
    </row>
    <row r="60" spans="1:13" x14ac:dyDescent="0.25">
      <c r="A60" s="5" t="s">
        <v>159</v>
      </c>
      <c r="B60" s="6" t="s">
        <v>160</v>
      </c>
      <c r="C60" s="6" t="s">
        <v>160</v>
      </c>
      <c r="D60" s="7" t="s">
        <v>22</v>
      </c>
      <c r="F60">
        <v>4241680809</v>
      </c>
      <c r="G60" s="1" t="s">
        <v>270</v>
      </c>
      <c r="H60" s="1" t="s">
        <v>1140</v>
      </c>
      <c r="I60" s="1" t="s">
        <v>1087</v>
      </c>
      <c r="J60">
        <v>1946</v>
      </c>
      <c r="L60">
        <v>3470453173</v>
      </c>
      <c r="M60" s="1" t="s">
        <v>1478</v>
      </c>
    </row>
    <row r="61" spans="1:13" x14ac:dyDescent="0.25">
      <c r="A61" s="2" t="s">
        <v>161</v>
      </c>
      <c r="B61" s="3" t="s">
        <v>162</v>
      </c>
      <c r="C61" s="3" t="s">
        <v>160</v>
      </c>
      <c r="D61" s="4" t="s">
        <v>7</v>
      </c>
      <c r="F61">
        <v>1524870307</v>
      </c>
      <c r="G61" s="1" t="s">
        <v>270</v>
      </c>
      <c r="H61" s="1" t="s">
        <v>1141</v>
      </c>
      <c r="I61" s="1" t="s">
        <v>1081</v>
      </c>
      <c r="J61">
        <v>1810</v>
      </c>
      <c r="L61">
        <v>6758177505</v>
      </c>
      <c r="M61" s="1" t="s">
        <v>1479</v>
      </c>
    </row>
    <row r="62" spans="1:13" x14ac:dyDescent="0.25">
      <c r="A62" s="5" t="s">
        <v>163</v>
      </c>
      <c r="B62" s="6" t="s">
        <v>164</v>
      </c>
      <c r="C62" s="6" t="s">
        <v>165</v>
      </c>
      <c r="D62" s="7" t="s">
        <v>7</v>
      </c>
      <c r="F62">
        <v>1818291355</v>
      </c>
      <c r="G62" s="1" t="s">
        <v>270</v>
      </c>
      <c r="H62" s="1" t="s">
        <v>1142</v>
      </c>
      <c r="I62" s="1" t="s">
        <v>1081</v>
      </c>
      <c r="J62">
        <v>2448</v>
      </c>
    </row>
    <row r="63" spans="1:13" x14ac:dyDescent="0.25">
      <c r="A63" s="2" t="s">
        <v>166</v>
      </c>
      <c r="B63" s="3" t="s">
        <v>167</v>
      </c>
      <c r="C63" s="3" t="s">
        <v>168</v>
      </c>
      <c r="D63" s="4" t="s">
        <v>7</v>
      </c>
      <c r="F63">
        <v>4653095092</v>
      </c>
      <c r="G63" s="1" t="s">
        <v>527</v>
      </c>
      <c r="H63" s="1" t="s">
        <v>1143</v>
      </c>
      <c r="I63" s="1" t="s">
        <v>1087</v>
      </c>
      <c r="J63">
        <v>1995</v>
      </c>
    </row>
    <row r="64" spans="1:13" x14ac:dyDescent="0.25">
      <c r="A64" s="5" t="s">
        <v>169</v>
      </c>
      <c r="B64" s="6" t="s">
        <v>170</v>
      </c>
      <c r="C64" s="6" t="s">
        <v>171</v>
      </c>
      <c r="D64" s="7" t="s">
        <v>7</v>
      </c>
      <c r="F64">
        <v>6758177505</v>
      </c>
      <c r="G64" s="1" t="s">
        <v>869</v>
      </c>
      <c r="H64" s="1" t="s">
        <v>1144</v>
      </c>
      <c r="I64" s="1" t="s">
        <v>1081</v>
      </c>
      <c r="J64">
        <v>2216</v>
      </c>
    </row>
    <row r="65" spans="1:10" x14ac:dyDescent="0.25">
      <c r="A65" s="2" t="s">
        <v>172</v>
      </c>
      <c r="B65" s="3" t="s">
        <v>173</v>
      </c>
      <c r="C65" s="3" t="s">
        <v>174</v>
      </c>
      <c r="D65" s="4" t="s">
        <v>7</v>
      </c>
      <c r="F65">
        <v>1278408463</v>
      </c>
      <c r="G65" s="1" t="s">
        <v>314</v>
      </c>
      <c r="H65" s="1" t="s">
        <v>1145</v>
      </c>
      <c r="I65" s="1" t="s">
        <v>1081</v>
      </c>
      <c r="J65">
        <v>2226</v>
      </c>
    </row>
    <row r="66" spans="1:10" x14ac:dyDescent="0.25">
      <c r="A66" s="5" t="s">
        <v>175</v>
      </c>
      <c r="B66" s="6" t="s">
        <v>176</v>
      </c>
      <c r="C66" s="6" t="s">
        <v>177</v>
      </c>
      <c r="D66" s="7" t="s">
        <v>7</v>
      </c>
      <c r="F66">
        <v>3318203338</v>
      </c>
      <c r="G66" s="1" t="s">
        <v>270</v>
      </c>
      <c r="H66" s="1" t="s">
        <v>1146</v>
      </c>
      <c r="I66" s="1" t="s">
        <v>1081</v>
      </c>
      <c r="J66">
        <v>2640</v>
      </c>
    </row>
    <row r="67" spans="1:10" x14ac:dyDescent="0.25">
      <c r="A67" s="2" t="s">
        <v>178</v>
      </c>
      <c r="B67" s="3" t="s">
        <v>179</v>
      </c>
      <c r="C67" s="3" t="s">
        <v>180</v>
      </c>
      <c r="D67" s="4" t="s">
        <v>7</v>
      </c>
      <c r="F67">
        <v>1617995032</v>
      </c>
      <c r="G67" s="1" t="s">
        <v>892</v>
      </c>
      <c r="H67" s="1" t="s">
        <v>1147</v>
      </c>
      <c r="I67" s="1" t="s">
        <v>1081</v>
      </c>
      <c r="J67">
        <v>2358</v>
      </c>
    </row>
    <row r="68" spans="1:10" x14ac:dyDescent="0.25">
      <c r="A68" s="5" t="s">
        <v>181</v>
      </c>
      <c r="B68" s="6" t="s">
        <v>182</v>
      </c>
      <c r="C68" s="6" t="s">
        <v>183</v>
      </c>
      <c r="D68" s="7" t="s">
        <v>7</v>
      </c>
      <c r="F68">
        <v>4458233905</v>
      </c>
      <c r="G68" s="1" t="s">
        <v>1003</v>
      </c>
      <c r="H68" s="1" t="s">
        <v>1148</v>
      </c>
      <c r="I68" s="1" t="s">
        <v>1087</v>
      </c>
      <c r="J68">
        <v>2175</v>
      </c>
    </row>
    <row r="69" spans="1:10" x14ac:dyDescent="0.25">
      <c r="A69" s="2" t="s">
        <v>184</v>
      </c>
      <c r="B69" s="3" t="s">
        <v>185</v>
      </c>
      <c r="C69" s="3" t="s">
        <v>186</v>
      </c>
      <c r="D69" s="4" t="s">
        <v>7</v>
      </c>
      <c r="F69">
        <v>1361555378</v>
      </c>
      <c r="G69" s="1" t="s">
        <v>270</v>
      </c>
      <c r="H69" s="1" t="s">
        <v>1149</v>
      </c>
      <c r="I69" s="1" t="s">
        <v>1081</v>
      </c>
      <c r="J69">
        <v>2972</v>
      </c>
    </row>
    <row r="70" spans="1:10" x14ac:dyDescent="0.25">
      <c r="A70" s="5" t="s">
        <v>187</v>
      </c>
      <c r="B70" s="6" t="s">
        <v>188</v>
      </c>
      <c r="C70" s="6" t="s">
        <v>188</v>
      </c>
      <c r="D70" s="7" t="s">
        <v>22</v>
      </c>
      <c r="F70">
        <v>6758177505</v>
      </c>
      <c r="G70" s="1" t="s">
        <v>862</v>
      </c>
      <c r="H70" s="1" t="s">
        <v>1150</v>
      </c>
      <c r="I70" s="1" t="s">
        <v>1081</v>
      </c>
      <c r="J70">
        <v>1779</v>
      </c>
    </row>
    <row r="71" spans="1:10" x14ac:dyDescent="0.25">
      <c r="A71" s="2" t="s">
        <v>189</v>
      </c>
      <c r="B71" s="3" t="s">
        <v>190</v>
      </c>
      <c r="C71" s="3" t="s">
        <v>191</v>
      </c>
      <c r="D71" s="4" t="s">
        <v>7</v>
      </c>
      <c r="F71">
        <v>3318203338</v>
      </c>
      <c r="G71" s="1" t="s">
        <v>270</v>
      </c>
      <c r="H71" s="1" t="s">
        <v>1151</v>
      </c>
      <c r="I71" s="1" t="s">
        <v>1087</v>
      </c>
      <c r="J71">
        <v>2165</v>
      </c>
    </row>
    <row r="72" spans="1:10" x14ac:dyDescent="0.25">
      <c r="A72" s="5" t="s">
        <v>192</v>
      </c>
      <c r="B72" s="6" t="s">
        <v>193</v>
      </c>
      <c r="C72" s="6" t="s">
        <v>194</v>
      </c>
      <c r="D72" s="7" t="s">
        <v>7</v>
      </c>
      <c r="F72">
        <v>5459753232</v>
      </c>
      <c r="G72" s="1" t="s">
        <v>737</v>
      </c>
      <c r="H72" s="1" t="s">
        <v>1152</v>
      </c>
      <c r="I72" s="1" t="s">
        <v>1081</v>
      </c>
      <c r="J72">
        <v>2758</v>
      </c>
    </row>
    <row r="73" spans="1:10" x14ac:dyDescent="0.25">
      <c r="A73" s="2" t="s">
        <v>195</v>
      </c>
      <c r="B73" s="3" t="s">
        <v>196</v>
      </c>
      <c r="C73" s="3" t="s">
        <v>197</v>
      </c>
      <c r="D73" s="4" t="s">
        <v>7</v>
      </c>
      <c r="F73">
        <v>4326751508</v>
      </c>
      <c r="G73" s="1" t="s">
        <v>40</v>
      </c>
      <c r="H73" s="1" t="s">
        <v>1153</v>
      </c>
      <c r="I73" s="1" t="s">
        <v>1087</v>
      </c>
      <c r="J73">
        <v>2198</v>
      </c>
    </row>
    <row r="74" spans="1:10" x14ac:dyDescent="0.25">
      <c r="A74" s="5" t="s">
        <v>198</v>
      </c>
      <c r="B74" s="6" t="s">
        <v>199</v>
      </c>
      <c r="C74" s="6" t="s">
        <v>200</v>
      </c>
      <c r="D74" s="7" t="s">
        <v>7</v>
      </c>
      <c r="F74">
        <v>4326751508</v>
      </c>
      <c r="G74" s="1" t="s">
        <v>40</v>
      </c>
      <c r="H74" s="1" t="s">
        <v>1154</v>
      </c>
      <c r="I74" s="1" t="s">
        <v>1087</v>
      </c>
      <c r="J74">
        <v>1902</v>
      </c>
    </row>
    <row r="75" spans="1:10" x14ac:dyDescent="0.25">
      <c r="A75" s="2" t="s">
        <v>201</v>
      </c>
      <c r="B75" s="3" t="s">
        <v>202</v>
      </c>
      <c r="C75" s="3" t="s">
        <v>203</v>
      </c>
      <c r="D75" s="4" t="s">
        <v>7</v>
      </c>
      <c r="F75">
        <v>4458233905</v>
      </c>
      <c r="G75" s="1" t="s">
        <v>270</v>
      </c>
      <c r="H75" s="1" t="s">
        <v>1155</v>
      </c>
      <c r="I75" s="1" t="s">
        <v>1087</v>
      </c>
      <c r="J75">
        <v>2318</v>
      </c>
    </row>
    <row r="76" spans="1:10" x14ac:dyDescent="0.25">
      <c r="A76" s="5" t="s">
        <v>204</v>
      </c>
      <c r="B76" s="6" t="s">
        <v>202</v>
      </c>
      <c r="C76" s="6" t="s">
        <v>205</v>
      </c>
      <c r="D76" s="7" t="s">
        <v>7</v>
      </c>
      <c r="F76">
        <v>3470453173</v>
      </c>
      <c r="G76" s="1" t="s">
        <v>85</v>
      </c>
      <c r="H76" s="1" t="s">
        <v>1156</v>
      </c>
      <c r="I76" s="1" t="s">
        <v>1081</v>
      </c>
      <c r="J76">
        <v>2415</v>
      </c>
    </row>
    <row r="77" spans="1:10" x14ac:dyDescent="0.25">
      <c r="A77" s="2" t="s">
        <v>206</v>
      </c>
      <c r="B77" s="3" t="s">
        <v>207</v>
      </c>
      <c r="C77" s="3" t="s">
        <v>208</v>
      </c>
      <c r="D77" s="4" t="s">
        <v>7</v>
      </c>
      <c r="F77">
        <v>1524870307</v>
      </c>
      <c r="G77" s="1" t="s">
        <v>270</v>
      </c>
      <c r="H77" s="1" t="s">
        <v>1157</v>
      </c>
      <c r="I77" s="1" t="s">
        <v>1087</v>
      </c>
      <c r="J77">
        <v>1893</v>
      </c>
    </row>
    <row r="78" spans="1:10" x14ac:dyDescent="0.25">
      <c r="A78" s="5" t="s">
        <v>209</v>
      </c>
      <c r="B78" s="6" t="s">
        <v>210</v>
      </c>
      <c r="C78" s="6" t="s">
        <v>210</v>
      </c>
      <c r="D78" s="7" t="s">
        <v>22</v>
      </c>
      <c r="F78">
        <v>2245871126</v>
      </c>
      <c r="G78" s="1" t="s">
        <v>73</v>
      </c>
      <c r="H78" s="1" t="s">
        <v>1158</v>
      </c>
      <c r="I78" s="1" t="s">
        <v>1087</v>
      </c>
      <c r="J78">
        <v>1950</v>
      </c>
    </row>
    <row r="79" spans="1:10" x14ac:dyDescent="0.25">
      <c r="A79" s="2" t="s">
        <v>211</v>
      </c>
      <c r="B79" s="3" t="s">
        <v>212</v>
      </c>
      <c r="C79" s="3" t="s">
        <v>210</v>
      </c>
      <c r="D79" s="4" t="s">
        <v>7</v>
      </c>
      <c r="F79">
        <v>2281651150</v>
      </c>
      <c r="G79" s="1" t="s">
        <v>552</v>
      </c>
      <c r="H79" s="1" t="s">
        <v>1159</v>
      </c>
      <c r="I79" s="1" t="s">
        <v>1087</v>
      </c>
      <c r="J79">
        <v>2575</v>
      </c>
    </row>
    <row r="80" spans="1:10" x14ac:dyDescent="0.25">
      <c r="A80" s="5" t="s">
        <v>213</v>
      </c>
      <c r="B80" s="6" t="s">
        <v>214</v>
      </c>
      <c r="C80" s="6" t="s">
        <v>215</v>
      </c>
      <c r="D80" s="7" t="s">
        <v>7</v>
      </c>
      <c r="F80">
        <v>5266741491</v>
      </c>
      <c r="G80" s="1" t="s">
        <v>636</v>
      </c>
      <c r="H80" s="1" t="s">
        <v>1160</v>
      </c>
      <c r="I80" s="1" t="s">
        <v>1081</v>
      </c>
      <c r="J80">
        <v>2565</v>
      </c>
    </row>
    <row r="81" spans="1:10" x14ac:dyDescent="0.25">
      <c r="A81" s="2" t="s">
        <v>216</v>
      </c>
      <c r="B81" s="3" t="s">
        <v>217</v>
      </c>
      <c r="C81" s="3" t="s">
        <v>218</v>
      </c>
      <c r="D81" s="4" t="s">
        <v>7</v>
      </c>
      <c r="F81">
        <v>5341884086</v>
      </c>
      <c r="G81" s="1" t="s">
        <v>636</v>
      </c>
      <c r="H81" s="1" t="s">
        <v>1161</v>
      </c>
      <c r="I81" s="1" t="s">
        <v>1081</v>
      </c>
      <c r="J81">
        <v>1970</v>
      </c>
    </row>
    <row r="82" spans="1:10" x14ac:dyDescent="0.25">
      <c r="A82" s="5" t="s">
        <v>219</v>
      </c>
      <c r="B82" s="6" t="s">
        <v>220</v>
      </c>
      <c r="C82" s="6" t="s">
        <v>221</v>
      </c>
      <c r="D82" s="7" t="s">
        <v>7</v>
      </c>
      <c r="F82">
        <v>5459753232</v>
      </c>
      <c r="G82" s="1" t="s">
        <v>737</v>
      </c>
      <c r="H82" s="1" t="s">
        <v>1162</v>
      </c>
      <c r="I82" s="1" t="s">
        <v>1087</v>
      </c>
      <c r="J82">
        <v>1950</v>
      </c>
    </row>
    <row r="83" spans="1:10" x14ac:dyDescent="0.25">
      <c r="A83" s="2" t="s">
        <v>222</v>
      </c>
      <c r="B83" s="3" t="s">
        <v>223</v>
      </c>
      <c r="C83" s="3" t="s">
        <v>224</v>
      </c>
      <c r="D83" s="4" t="s">
        <v>7</v>
      </c>
      <c r="F83">
        <v>1617995032</v>
      </c>
      <c r="G83" s="1" t="s">
        <v>892</v>
      </c>
      <c r="H83" s="1" t="s">
        <v>1163</v>
      </c>
      <c r="I83" s="1" t="s">
        <v>1081</v>
      </c>
      <c r="J83">
        <v>2448</v>
      </c>
    </row>
    <row r="84" spans="1:10" x14ac:dyDescent="0.25">
      <c r="A84" s="5" t="s">
        <v>225</v>
      </c>
      <c r="B84" s="6" t="s">
        <v>226</v>
      </c>
      <c r="C84" s="6" t="s">
        <v>227</v>
      </c>
      <c r="D84" s="7" t="s">
        <v>7</v>
      </c>
      <c r="F84">
        <v>5185759244</v>
      </c>
      <c r="G84" s="1" t="s">
        <v>636</v>
      </c>
      <c r="H84" s="1" t="s">
        <v>1164</v>
      </c>
      <c r="I84" s="1" t="s">
        <v>1087</v>
      </c>
      <c r="J84">
        <v>2688</v>
      </c>
    </row>
    <row r="85" spans="1:10" x14ac:dyDescent="0.25">
      <c r="A85" s="2" t="s">
        <v>228</v>
      </c>
      <c r="B85" s="3" t="s">
        <v>229</v>
      </c>
      <c r="C85" s="3" t="s">
        <v>230</v>
      </c>
      <c r="D85" s="4" t="s">
        <v>7</v>
      </c>
      <c r="F85">
        <v>3568004264</v>
      </c>
      <c r="G85" s="1" t="s">
        <v>428</v>
      </c>
      <c r="H85" s="1" t="s">
        <v>1165</v>
      </c>
      <c r="I85" s="1" t="s">
        <v>1081</v>
      </c>
      <c r="J85">
        <v>2185</v>
      </c>
    </row>
    <row r="86" spans="1:10" x14ac:dyDescent="0.25">
      <c r="A86" s="5" t="s">
        <v>231</v>
      </c>
      <c r="B86" s="6" t="s">
        <v>232</v>
      </c>
      <c r="C86" s="6" t="s">
        <v>233</v>
      </c>
      <c r="D86" s="7" t="s">
        <v>7</v>
      </c>
      <c r="F86">
        <v>1620242236</v>
      </c>
      <c r="G86" s="1" t="s">
        <v>314</v>
      </c>
      <c r="H86" s="1" t="s">
        <v>1166</v>
      </c>
      <c r="I86" s="1" t="s">
        <v>1087</v>
      </c>
      <c r="J86">
        <v>3192</v>
      </c>
    </row>
    <row r="87" spans="1:10" x14ac:dyDescent="0.25">
      <c r="A87" s="2" t="s">
        <v>234</v>
      </c>
      <c r="B87" s="3" t="s">
        <v>235</v>
      </c>
      <c r="C87" s="3" t="s">
        <v>236</v>
      </c>
      <c r="D87" s="4" t="s">
        <v>7</v>
      </c>
      <c r="F87">
        <v>3470453173</v>
      </c>
      <c r="G87" s="1" t="s">
        <v>85</v>
      </c>
      <c r="H87" s="1" t="s">
        <v>1167</v>
      </c>
      <c r="I87" s="1" t="s">
        <v>1087</v>
      </c>
      <c r="J87">
        <v>2464</v>
      </c>
    </row>
    <row r="88" spans="1:10" x14ac:dyDescent="0.25">
      <c r="A88" s="5" t="s">
        <v>237</v>
      </c>
      <c r="B88" s="6" t="s">
        <v>238</v>
      </c>
      <c r="C88" s="6" t="s">
        <v>239</v>
      </c>
      <c r="D88" s="7" t="s">
        <v>7</v>
      </c>
      <c r="F88">
        <v>6727559092</v>
      </c>
      <c r="G88" s="1" t="s">
        <v>862</v>
      </c>
      <c r="H88" s="1" t="s">
        <v>1168</v>
      </c>
      <c r="I88" s="1" t="s">
        <v>1087</v>
      </c>
      <c r="J88">
        <v>2034</v>
      </c>
    </row>
    <row r="89" spans="1:10" x14ac:dyDescent="0.25">
      <c r="A89" s="2" t="s">
        <v>240</v>
      </c>
      <c r="B89" s="3" t="s">
        <v>241</v>
      </c>
      <c r="C89" s="3" t="s">
        <v>242</v>
      </c>
      <c r="D89" s="4" t="s">
        <v>7</v>
      </c>
      <c r="F89">
        <v>1127056356</v>
      </c>
      <c r="G89" s="1" t="s">
        <v>317</v>
      </c>
      <c r="H89" s="1" t="s">
        <v>1169</v>
      </c>
      <c r="I89" s="1" t="s">
        <v>1081</v>
      </c>
      <c r="J89">
        <v>2436</v>
      </c>
    </row>
    <row r="90" spans="1:10" x14ac:dyDescent="0.25">
      <c r="A90" s="5" t="s">
        <v>243</v>
      </c>
      <c r="B90" s="6" t="s">
        <v>244</v>
      </c>
      <c r="C90" s="6" t="s">
        <v>244</v>
      </c>
      <c r="D90" s="7" t="s">
        <v>22</v>
      </c>
      <c r="F90">
        <v>6727559092</v>
      </c>
      <c r="G90" s="1" t="s">
        <v>862</v>
      </c>
      <c r="H90" s="1" t="s">
        <v>1170</v>
      </c>
      <c r="I90" s="1" t="s">
        <v>1087</v>
      </c>
      <c r="J90">
        <v>2114</v>
      </c>
    </row>
    <row r="91" spans="1:10" x14ac:dyDescent="0.25">
      <c r="A91" s="2" t="s">
        <v>245</v>
      </c>
      <c r="B91" s="3" t="s">
        <v>246</v>
      </c>
      <c r="C91" s="3" t="s">
        <v>247</v>
      </c>
      <c r="D91" s="4" t="s">
        <v>7</v>
      </c>
      <c r="F91">
        <v>1939065269</v>
      </c>
      <c r="G91" s="1" t="s">
        <v>636</v>
      </c>
      <c r="H91" s="1" t="s">
        <v>1171</v>
      </c>
      <c r="I91" s="1" t="s">
        <v>1081</v>
      </c>
      <c r="J91">
        <v>2390</v>
      </c>
    </row>
    <row r="92" spans="1:10" x14ac:dyDescent="0.25">
      <c r="A92" s="5" t="s">
        <v>248</v>
      </c>
      <c r="B92" s="6" t="s">
        <v>249</v>
      </c>
      <c r="C92" s="6" t="s">
        <v>249</v>
      </c>
      <c r="D92" s="7" t="s">
        <v>22</v>
      </c>
      <c r="F92">
        <v>1820566794</v>
      </c>
      <c r="G92" s="1" t="s">
        <v>604</v>
      </c>
      <c r="H92" s="1" t="s">
        <v>1172</v>
      </c>
      <c r="I92" s="1" t="s">
        <v>1081</v>
      </c>
      <c r="J92">
        <v>1932</v>
      </c>
    </row>
    <row r="93" spans="1:10" x14ac:dyDescent="0.25">
      <c r="A93" s="2" t="s">
        <v>250</v>
      </c>
      <c r="B93" s="3" t="s">
        <v>251</v>
      </c>
      <c r="C93" s="3" t="s">
        <v>252</v>
      </c>
      <c r="D93" s="4" t="s">
        <v>7</v>
      </c>
      <c r="F93">
        <v>4241680809</v>
      </c>
      <c r="G93" s="1" t="s">
        <v>636</v>
      </c>
      <c r="H93" s="1" t="s">
        <v>1173</v>
      </c>
      <c r="I93" s="1" t="s">
        <v>1081</v>
      </c>
      <c r="J93">
        <v>2720</v>
      </c>
    </row>
    <row r="94" spans="1:10" x14ac:dyDescent="0.25">
      <c r="A94" s="5" t="s">
        <v>253</v>
      </c>
      <c r="B94" s="6" t="s">
        <v>254</v>
      </c>
      <c r="C94" s="6" t="s">
        <v>254</v>
      </c>
      <c r="D94" s="7" t="s">
        <v>22</v>
      </c>
      <c r="F94">
        <v>4458233905</v>
      </c>
      <c r="G94" s="1" t="s">
        <v>1003</v>
      </c>
      <c r="H94" s="1" t="s">
        <v>1174</v>
      </c>
      <c r="I94" s="1" t="s">
        <v>1081</v>
      </c>
      <c r="J94">
        <v>2478</v>
      </c>
    </row>
    <row r="95" spans="1:10" x14ac:dyDescent="0.25">
      <c r="A95" s="2" t="s">
        <v>255</v>
      </c>
      <c r="B95" s="3" t="s">
        <v>256</v>
      </c>
      <c r="C95" s="3" t="s">
        <v>254</v>
      </c>
      <c r="D95" s="4" t="s">
        <v>7</v>
      </c>
      <c r="F95">
        <v>1433397952</v>
      </c>
      <c r="G95" s="1" t="s">
        <v>314</v>
      </c>
      <c r="H95" s="1" t="s">
        <v>1175</v>
      </c>
      <c r="I95" s="1" t="s">
        <v>1087</v>
      </c>
      <c r="J95">
        <v>2434</v>
      </c>
    </row>
    <row r="96" spans="1:10" x14ac:dyDescent="0.25">
      <c r="A96" s="5" t="s">
        <v>257</v>
      </c>
      <c r="B96" s="6" t="s">
        <v>258</v>
      </c>
      <c r="C96" s="6" t="s">
        <v>259</v>
      </c>
      <c r="D96" s="7" t="s">
        <v>7</v>
      </c>
      <c r="F96">
        <v>4779174699</v>
      </c>
      <c r="G96" s="1" t="s">
        <v>1003</v>
      </c>
      <c r="H96" s="1" t="s">
        <v>1176</v>
      </c>
      <c r="I96" s="1" t="s">
        <v>1081</v>
      </c>
      <c r="J96">
        <v>2992</v>
      </c>
    </row>
    <row r="97" spans="1:10" x14ac:dyDescent="0.25">
      <c r="A97" s="2" t="s">
        <v>260</v>
      </c>
      <c r="B97" s="3" t="s">
        <v>259</v>
      </c>
      <c r="C97" s="3" t="s">
        <v>259</v>
      </c>
      <c r="D97" s="4" t="s">
        <v>22</v>
      </c>
      <c r="F97">
        <v>5459753232</v>
      </c>
      <c r="G97" s="1" t="s">
        <v>737</v>
      </c>
      <c r="H97" s="1" t="s">
        <v>1177</v>
      </c>
      <c r="I97" s="1" t="s">
        <v>1087</v>
      </c>
      <c r="J97">
        <v>1860</v>
      </c>
    </row>
    <row r="98" spans="1:10" x14ac:dyDescent="0.25">
      <c r="A98" s="5" t="s">
        <v>261</v>
      </c>
      <c r="B98" s="6" t="s">
        <v>262</v>
      </c>
      <c r="C98" s="6" t="s">
        <v>263</v>
      </c>
      <c r="D98" s="7" t="s">
        <v>7</v>
      </c>
      <c r="F98">
        <v>3318203338</v>
      </c>
      <c r="G98" s="1" t="s">
        <v>636</v>
      </c>
      <c r="H98" s="1" t="s">
        <v>1178</v>
      </c>
      <c r="I98" s="1" t="s">
        <v>1081</v>
      </c>
      <c r="J98">
        <v>2427</v>
      </c>
    </row>
    <row r="99" spans="1:10" x14ac:dyDescent="0.25">
      <c r="A99" s="2" t="s">
        <v>264</v>
      </c>
      <c r="B99" s="3" t="s">
        <v>265</v>
      </c>
      <c r="C99" s="3" t="s">
        <v>266</v>
      </c>
      <c r="D99" s="4" t="s">
        <v>7</v>
      </c>
      <c r="F99">
        <v>5514533376</v>
      </c>
      <c r="G99" s="1" t="s">
        <v>40</v>
      </c>
      <c r="H99" s="1" t="s">
        <v>1179</v>
      </c>
      <c r="I99" s="1" t="s">
        <v>1087</v>
      </c>
      <c r="J99">
        <v>2926</v>
      </c>
    </row>
    <row r="100" spans="1:10" x14ac:dyDescent="0.25">
      <c r="A100" s="5" t="s">
        <v>267</v>
      </c>
      <c r="B100" s="6" t="s">
        <v>268</v>
      </c>
      <c r="C100" s="6" t="s">
        <v>269</v>
      </c>
      <c r="D100" s="7" t="s">
        <v>7</v>
      </c>
      <c r="F100">
        <v>5418968184</v>
      </c>
      <c r="G100" s="1" t="s">
        <v>636</v>
      </c>
      <c r="H100" s="1" t="s">
        <v>1180</v>
      </c>
      <c r="I100" s="1" t="s">
        <v>1087</v>
      </c>
      <c r="J100">
        <v>1902</v>
      </c>
    </row>
    <row r="101" spans="1:10" x14ac:dyDescent="0.25">
      <c r="A101" s="2" t="s">
        <v>270</v>
      </c>
      <c r="B101" s="3" t="s">
        <v>271</v>
      </c>
      <c r="C101" s="3" t="s">
        <v>271</v>
      </c>
      <c r="D101" s="4" t="s">
        <v>22</v>
      </c>
      <c r="F101">
        <v>4956781088</v>
      </c>
      <c r="G101" s="1" t="s">
        <v>184</v>
      </c>
      <c r="H101" s="1" t="s">
        <v>1181</v>
      </c>
      <c r="I101" s="1" t="s">
        <v>1081</v>
      </c>
      <c r="J101">
        <v>1929</v>
      </c>
    </row>
    <row r="102" spans="1:10" x14ac:dyDescent="0.25">
      <c r="A102" s="5" t="s">
        <v>272</v>
      </c>
      <c r="B102" s="6" t="s">
        <v>273</v>
      </c>
      <c r="C102" s="6" t="s">
        <v>274</v>
      </c>
      <c r="D102" s="7" t="s">
        <v>7</v>
      </c>
      <c r="F102">
        <v>4241680809</v>
      </c>
      <c r="G102" s="1" t="s">
        <v>636</v>
      </c>
      <c r="H102" s="1" t="s">
        <v>1182</v>
      </c>
      <c r="I102" s="1" t="s">
        <v>1081</v>
      </c>
      <c r="J102">
        <v>3056</v>
      </c>
    </row>
    <row r="103" spans="1:10" x14ac:dyDescent="0.25">
      <c r="A103" s="2" t="s">
        <v>275</v>
      </c>
      <c r="B103" s="3" t="s">
        <v>276</v>
      </c>
      <c r="C103" s="3" t="s">
        <v>277</v>
      </c>
      <c r="D103" s="4" t="s">
        <v>7</v>
      </c>
      <c r="F103">
        <v>2599394621</v>
      </c>
      <c r="G103" s="1" t="s">
        <v>636</v>
      </c>
      <c r="H103" s="1" t="s">
        <v>1183</v>
      </c>
      <c r="I103" s="1" t="s">
        <v>1087</v>
      </c>
      <c r="J103">
        <v>2818</v>
      </c>
    </row>
    <row r="104" spans="1:10" x14ac:dyDescent="0.25">
      <c r="A104" s="5" t="s">
        <v>278</v>
      </c>
      <c r="B104" s="6" t="s">
        <v>279</v>
      </c>
      <c r="C104" s="6" t="s">
        <v>280</v>
      </c>
      <c r="D104" s="7" t="s">
        <v>7</v>
      </c>
      <c r="F104">
        <v>5115061689</v>
      </c>
      <c r="G104" s="1" t="s">
        <v>702</v>
      </c>
      <c r="H104" s="1" t="s">
        <v>1184</v>
      </c>
      <c r="I104" s="1" t="s">
        <v>1081</v>
      </c>
      <c r="J104">
        <v>3144</v>
      </c>
    </row>
    <row r="105" spans="1:10" x14ac:dyDescent="0.25">
      <c r="A105" s="2" t="s">
        <v>281</v>
      </c>
      <c r="B105" s="3" t="s">
        <v>282</v>
      </c>
      <c r="C105" s="3" t="s">
        <v>283</v>
      </c>
      <c r="D105" s="4" t="s">
        <v>7</v>
      </c>
      <c r="F105">
        <v>3568004264</v>
      </c>
      <c r="G105" s="1" t="s">
        <v>428</v>
      </c>
      <c r="H105" s="1" t="s">
        <v>1185</v>
      </c>
      <c r="I105" s="1" t="s">
        <v>1087</v>
      </c>
      <c r="J105">
        <v>3060</v>
      </c>
    </row>
    <row r="106" spans="1:10" x14ac:dyDescent="0.25">
      <c r="A106" s="5" t="s">
        <v>284</v>
      </c>
      <c r="B106" s="6" t="s">
        <v>285</v>
      </c>
      <c r="C106" s="6" t="s">
        <v>285</v>
      </c>
      <c r="D106" s="7" t="s">
        <v>22</v>
      </c>
      <c r="F106">
        <v>3470453173</v>
      </c>
      <c r="G106" s="1" t="s">
        <v>85</v>
      </c>
      <c r="H106" s="1" t="s">
        <v>1186</v>
      </c>
      <c r="I106" s="1" t="s">
        <v>1081</v>
      </c>
      <c r="J106">
        <v>1866</v>
      </c>
    </row>
    <row r="107" spans="1:10" x14ac:dyDescent="0.25">
      <c r="A107" s="2" t="s">
        <v>286</v>
      </c>
      <c r="B107" s="3" t="s">
        <v>287</v>
      </c>
      <c r="C107" s="3" t="s">
        <v>285</v>
      </c>
      <c r="D107" s="4" t="s">
        <v>7</v>
      </c>
      <c r="F107">
        <v>2119268767</v>
      </c>
      <c r="G107" s="1" t="s">
        <v>141</v>
      </c>
      <c r="H107" s="1" t="s">
        <v>1187</v>
      </c>
      <c r="I107" s="1" t="s">
        <v>1087</v>
      </c>
      <c r="J107">
        <v>2928</v>
      </c>
    </row>
    <row r="108" spans="1:10" x14ac:dyDescent="0.25">
      <c r="A108" s="5" t="s">
        <v>288</v>
      </c>
      <c r="B108" s="6" t="s">
        <v>289</v>
      </c>
      <c r="C108" s="6" t="s">
        <v>290</v>
      </c>
      <c r="D108" s="7" t="s">
        <v>7</v>
      </c>
      <c r="F108">
        <v>1246489959</v>
      </c>
      <c r="G108" s="1" t="s">
        <v>636</v>
      </c>
      <c r="H108" s="1" t="s">
        <v>1188</v>
      </c>
      <c r="I108" s="1" t="s">
        <v>1087</v>
      </c>
      <c r="J108">
        <v>2590</v>
      </c>
    </row>
    <row r="109" spans="1:10" x14ac:dyDescent="0.25">
      <c r="A109" s="2" t="s">
        <v>291</v>
      </c>
      <c r="B109" s="3" t="s">
        <v>292</v>
      </c>
      <c r="C109" s="3" t="s">
        <v>293</v>
      </c>
      <c r="D109" s="4" t="s">
        <v>7</v>
      </c>
      <c r="F109">
        <v>4779174699</v>
      </c>
      <c r="G109" s="1" t="s">
        <v>1003</v>
      </c>
      <c r="H109" s="1" t="s">
        <v>1189</v>
      </c>
      <c r="I109" s="1" t="s">
        <v>1081</v>
      </c>
      <c r="J109">
        <v>2445</v>
      </c>
    </row>
    <row r="110" spans="1:10" x14ac:dyDescent="0.25">
      <c r="A110" s="5" t="s">
        <v>294</v>
      </c>
      <c r="B110" s="6" t="s">
        <v>295</v>
      </c>
      <c r="C110" s="6" t="s">
        <v>296</v>
      </c>
      <c r="D110" s="7" t="s">
        <v>7</v>
      </c>
      <c r="F110">
        <v>4715154852</v>
      </c>
      <c r="G110" s="1" t="s">
        <v>1003</v>
      </c>
      <c r="H110" s="1" t="s">
        <v>1190</v>
      </c>
      <c r="I110" s="1" t="s">
        <v>1081</v>
      </c>
      <c r="J110">
        <v>2780</v>
      </c>
    </row>
    <row r="111" spans="1:10" x14ac:dyDescent="0.25">
      <c r="A111" s="2" t="s">
        <v>297</v>
      </c>
      <c r="B111" s="3" t="s">
        <v>298</v>
      </c>
      <c r="C111" s="3" t="s">
        <v>299</v>
      </c>
      <c r="D111" s="4" t="s">
        <v>7</v>
      </c>
      <c r="F111">
        <v>3568004264</v>
      </c>
      <c r="G111" s="1" t="s">
        <v>428</v>
      </c>
      <c r="H111" s="1" t="s">
        <v>1191</v>
      </c>
      <c r="I111" s="1" t="s">
        <v>1081</v>
      </c>
      <c r="J111">
        <v>2720</v>
      </c>
    </row>
    <row r="112" spans="1:10" x14ac:dyDescent="0.25">
      <c r="A112" s="5" t="s">
        <v>300</v>
      </c>
      <c r="B112" s="6" t="s">
        <v>301</v>
      </c>
      <c r="C112" s="6" t="s">
        <v>302</v>
      </c>
      <c r="D112" s="7" t="s">
        <v>7</v>
      </c>
      <c r="F112">
        <v>5514533376</v>
      </c>
      <c r="G112" s="1" t="s">
        <v>40</v>
      </c>
      <c r="H112" s="1" t="s">
        <v>1192</v>
      </c>
      <c r="I112" s="1" t="s">
        <v>1087</v>
      </c>
      <c r="J112">
        <v>2136</v>
      </c>
    </row>
    <row r="113" spans="1:10" x14ac:dyDescent="0.25">
      <c r="A113" s="2" t="s">
        <v>303</v>
      </c>
      <c r="B113" s="3" t="s">
        <v>304</v>
      </c>
      <c r="C113" s="3" t="s">
        <v>305</v>
      </c>
      <c r="D113" s="4" t="s">
        <v>7</v>
      </c>
      <c r="F113">
        <v>5528435390</v>
      </c>
      <c r="G113" s="1" t="s">
        <v>636</v>
      </c>
      <c r="H113" s="1" t="s">
        <v>1193</v>
      </c>
      <c r="I113" s="1" t="s">
        <v>1081</v>
      </c>
      <c r="J113">
        <v>2328</v>
      </c>
    </row>
    <row r="114" spans="1:10" x14ac:dyDescent="0.25">
      <c r="A114" s="5" t="s">
        <v>306</v>
      </c>
      <c r="B114" s="6" t="s">
        <v>307</v>
      </c>
      <c r="C114" s="6" t="s">
        <v>308</v>
      </c>
      <c r="D114" s="7" t="s">
        <v>7</v>
      </c>
      <c r="F114">
        <v>4779174699</v>
      </c>
      <c r="G114" s="1" t="s">
        <v>1003</v>
      </c>
      <c r="H114" s="1" t="s">
        <v>1194</v>
      </c>
      <c r="I114" s="1" t="s">
        <v>1081</v>
      </c>
      <c r="J114">
        <v>2920</v>
      </c>
    </row>
    <row r="115" spans="1:10" x14ac:dyDescent="0.25">
      <c r="A115" s="2" t="s">
        <v>309</v>
      </c>
      <c r="B115" s="3" t="s">
        <v>310</v>
      </c>
      <c r="C115" s="3" t="s">
        <v>311</v>
      </c>
      <c r="D115" s="4" t="s">
        <v>7</v>
      </c>
      <c r="F115">
        <v>4326751508</v>
      </c>
      <c r="G115" s="1" t="s">
        <v>405</v>
      </c>
      <c r="H115" s="1" t="s">
        <v>1195</v>
      </c>
      <c r="I115" s="1" t="s">
        <v>1087</v>
      </c>
      <c r="J115">
        <v>3324</v>
      </c>
    </row>
    <row r="116" spans="1:10" x14ac:dyDescent="0.25">
      <c r="A116" s="5" t="s">
        <v>312</v>
      </c>
      <c r="B116" s="6" t="s">
        <v>313</v>
      </c>
      <c r="C116" s="6" t="s">
        <v>313</v>
      </c>
      <c r="D116" s="7" t="s">
        <v>22</v>
      </c>
      <c r="F116">
        <v>1620242236</v>
      </c>
      <c r="G116" s="1" t="s">
        <v>314</v>
      </c>
      <c r="H116" s="1" t="s">
        <v>1196</v>
      </c>
      <c r="I116" s="1" t="s">
        <v>1081</v>
      </c>
      <c r="J116">
        <v>2915</v>
      </c>
    </row>
    <row r="117" spans="1:10" x14ac:dyDescent="0.25">
      <c r="A117" s="2" t="s">
        <v>314</v>
      </c>
      <c r="B117" s="3" t="s">
        <v>313</v>
      </c>
      <c r="C117" s="3" t="s">
        <v>313</v>
      </c>
      <c r="D117" s="4" t="s">
        <v>22</v>
      </c>
      <c r="F117">
        <v>6758177505</v>
      </c>
      <c r="G117" s="1" t="s">
        <v>862</v>
      </c>
      <c r="H117" s="1" t="s">
        <v>1197</v>
      </c>
      <c r="I117" s="1" t="s">
        <v>1087</v>
      </c>
      <c r="J117">
        <v>1930</v>
      </c>
    </row>
    <row r="118" spans="1:10" x14ac:dyDescent="0.25">
      <c r="A118" s="5" t="s">
        <v>315</v>
      </c>
      <c r="B118" s="6" t="s">
        <v>316</v>
      </c>
      <c r="C118" s="6" t="s">
        <v>313</v>
      </c>
      <c r="D118" s="7" t="s">
        <v>7</v>
      </c>
      <c r="F118">
        <v>6727559092</v>
      </c>
      <c r="G118" s="1" t="s">
        <v>862</v>
      </c>
      <c r="H118" s="1" t="s">
        <v>1198</v>
      </c>
      <c r="I118" s="1" t="s">
        <v>1087</v>
      </c>
      <c r="J118">
        <v>2361</v>
      </c>
    </row>
    <row r="119" spans="1:10" x14ac:dyDescent="0.25">
      <c r="A119" s="2" t="s">
        <v>317</v>
      </c>
      <c r="B119" s="3" t="s">
        <v>318</v>
      </c>
      <c r="C119" s="3" t="s">
        <v>319</v>
      </c>
      <c r="D119" s="4" t="s">
        <v>7</v>
      </c>
      <c r="F119">
        <v>4241680809</v>
      </c>
      <c r="G119" s="1" t="s">
        <v>636</v>
      </c>
      <c r="H119" s="1" t="s">
        <v>1199</v>
      </c>
      <c r="I119" s="1" t="s">
        <v>1087</v>
      </c>
      <c r="J119">
        <v>1863</v>
      </c>
    </row>
    <row r="120" spans="1:10" x14ac:dyDescent="0.25">
      <c r="A120" s="5" t="s">
        <v>320</v>
      </c>
      <c r="B120" s="6" t="s">
        <v>321</v>
      </c>
      <c r="C120" s="6" t="s">
        <v>322</v>
      </c>
      <c r="D120" s="7" t="s">
        <v>7</v>
      </c>
      <c r="F120">
        <v>4326751508</v>
      </c>
      <c r="G120" s="1" t="s">
        <v>40</v>
      </c>
      <c r="H120" s="1" t="s">
        <v>1200</v>
      </c>
      <c r="I120" s="1" t="s">
        <v>1081</v>
      </c>
      <c r="J120">
        <v>2420</v>
      </c>
    </row>
    <row r="121" spans="1:10" x14ac:dyDescent="0.25">
      <c r="A121" s="2" t="s">
        <v>323</v>
      </c>
      <c r="B121" s="3" t="s">
        <v>324</v>
      </c>
      <c r="C121" s="3" t="s">
        <v>324</v>
      </c>
      <c r="D121" s="4" t="s">
        <v>22</v>
      </c>
      <c r="F121">
        <v>3470453173</v>
      </c>
      <c r="G121" s="1" t="s">
        <v>85</v>
      </c>
      <c r="H121" s="1" t="s">
        <v>1201</v>
      </c>
      <c r="I121" s="1" t="s">
        <v>1087</v>
      </c>
      <c r="J121">
        <v>2625</v>
      </c>
    </row>
    <row r="122" spans="1:10" x14ac:dyDescent="0.25">
      <c r="A122" s="5" t="s">
        <v>325</v>
      </c>
      <c r="B122" s="6" t="s">
        <v>326</v>
      </c>
      <c r="C122" s="6" t="s">
        <v>324</v>
      </c>
      <c r="D122" s="7" t="s">
        <v>7</v>
      </c>
      <c r="F122">
        <v>3579231044</v>
      </c>
      <c r="G122" s="1" t="s">
        <v>370</v>
      </c>
      <c r="H122" s="1" t="s">
        <v>1202</v>
      </c>
      <c r="I122" s="1" t="s">
        <v>1087</v>
      </c>
      <c r="J122">
        <v>2314</v>
      </c>
    </row>
    <row r="123" spans="1:10" x14ac:dyDescent="0.25">
      <c r="A123" s="2" t="s">
        <v>327</v>
      </c>
      <c r="B123" s="3" t="s">
        <v>328</v>
      </c>
      <c r="C123" s="3" t="s">
        <v>329</v>
      </c>
      <c r="D123" s="4" t="s">
        <v>7</v>
      </c>
      <c r="F123">
        <v>2119268767</v>
      </c>
      <c r="G123" s="1" t="s">
        <v>141</v>
      </c>
      <c r="H123" s="1" t="s">
        <v>1203</v>
      </c>
      <c r="I123" s="1" t="s">
        <v>1087</v>
      </c>
      <c r="J123">
        <v>2340</v>
      </c>
    </row>
    <row r="124" spans="1:10" x14ac:dyDescent="0.25">
      <c r="A124" s="5" t="s">
        <v>330</v>
      </c>
      <c r="B124" s="6" t="s">
        <v>331</v>
      </c>
      <c r="C124" s="6" t="s">
        <v>331</v>
      </c>
      <c r="D124" s="7" t="s">
        <v>22</v>
      </c>
      <c r="F124">
        <v>1620242236</v>
      </c>
      <c r="G124" s="1" t="s">
        <v>314</v>
      </c>
      <c r="H124" s="1" t="s">
        <v>1204</v>
      </c>
      <c r="I124" s="1" t="s">
        <v>1081</v>
      </c>
      <c r="J124">
        <v>2181</v>
      </c>
    </row>
    <row r="125" spans="1:10" x14ac:dyDescent="0.25">
      <c r="A125" s="2" t="s">
        <v>332</v>
      </c>
      <c r="B125" s="3" t="s">
        <v>333</v>
      </c>
      <c r="C125" s="3" t="s">
        <v>331</v>
      </c>
      <c r="D125" s="4" t="s">
        <v>7</v>
      </c>
      <c r="F125">
        <v>4326751508</v>
      </c>
      <c r="G125" s="1" t="s">
        <v>40</v>
      </c>
      <c r="H125" s="1" t="s">
        <v>1205</v>
      </c>
      <c r="I125" s="1" t="s">
        <v>1081</v>
      </c>
      <c r="J125">
        <v>2800</v>
      </c>
    </row>
    <row r="126" spans="1:10" x14ac:dyDescent="0.25">
      <c r="A126" s="5" t="s">
        <v>334</v>
      </c>
      <c r="B126" s="6" t="s">
        <v>335</v>
      </c>
      <c r="C126" s="6" t="s">
        <v>336</v>
      </c>
      <c r="D126" s="7" t="s">
        <v>7</v>
      </c>
      <c r="F126">
        <v>1278408463</v>
      </c>
      <c r="G126" s="1" t="s">
        <v>312</v>
      </c>
      <c r="H126" s="1" t="s">
        <v>1206</v>
      </c>
      <c r="I126" s="1" t="s">
        <v>1087</v>
      </c>
      <c r="J126">
        <v>2589</v>
      </c>
    </row>
    <row r="127" spans="1:10" x14ac:dyDescent="0.25">
      <c r="A127" s="2" t="s">
        <v>337</v>
      </c>
      <c r="B127" s="3" t="s">
        <v>338</v>
      </c>
      <c r="C127" s="3" t="s">
        <v>339</v>
      </c>
      <c r="D127" s="4" t="s">
        <v>7</v>
      </c>
      <c r="F127">
        <v>1939065269</v>
      </c>
      <c r="G127" s="1" t="s">
        <v>636</v>
      </c>
      <c r="H127" s="1" t="s">
        <v>1207</v>
      </c>
      <c r="I127" s="1" t="s">
        <v>1081</v>
      </c>
      <c r="J127">
        <v>2360</v>
      </c>
    </row>
    <row r="128" spans="1:10" x14ac:dyDescent="0.25">
      <c r="A128" s="5" t="s">
        <v>340</v>
      </c>
      <c r="B128" s="6" t="s">
        <v>341</v>
      </c>
      <c r="C128" s="6" t="s">
        <v>342</v>
      </c>
      <c r="D128" s="7" t="s">
        <v>7</v>
      </c>
      <c r="F128">
        <v>3783578981</v>
      </c>
      <c r="G128" s="1" t="s">
        <v>405</v>
      </c>
      <c r="H128" s="1" t="s">
        <v>1208</v>
      </c>
      <c r="I128" s="1" t="s">
        <v>1087</v>
      </c>
      <c r="J128">
        <v>2185</v>
      </c>
    </row>
    <row r="129" spans="1:10" x14ac:dyDescent="0.25">
      <c r="A129" s="2" t="s">
        <v>343</v>
      </c>
      <c r="B129" s="3" t="s">
        <v>344</v>
      </c>
      <c r="C129" s="3" t="s">
        <v>345</v>
      </c>
      <c r="D129" s="4" t="s">
        <v>7</v>
      </c>
      <c r="F129">
        <v>4241680809</v>
      </c>
      <c r="G129" s="1" t="s">
        <v>636</v>
      </c>
      <c r="H129" s="1" t="s">
        <v>1209</v>
      </c>
      <c r="I129" s="1" t="s">
        <v>1081</v>
      </c>
      <c r="J129">
        <v>2319</v>
      </c>
    </row>
    <row r="130" spans="1:10" x14ac:dyDescent="0.25">
      <c r="A130" s="5" t="s">
        <v>346</v>
      </c>
      <c r="B130" s="6" t="s">
        <v>344</v>
      </c>
      <c r="C130" s="6" t="s">
        <v>347</v>
      </c>
      <c r="D130" s="7" t="s">
        <v>7</v>
      </c>
      <c r="F130">
        <v>4761158900</v>
      </c>
      <c r="G130" s="1" t="s">
        <v>294</v>
      </c>
      <c r="H130" s="1" t="s">
        <v>1210</v>
      </c>
      <c r="I130" s="1" t="s">
        <v>1081</v>
      </c>
      <c r="J130">
        <v>2208</v>
      </c>
    </row>
    <row r="131" spans="1:10" x14ac:dyDescent="0.25">
      <c r="A131" s="2" t="s">
        <v>348</v>
      </c>
      <c r="B131" s="3" t="s">
        <v>345</v>
      </c>
      <c r="C131" s="3" t="s">
        <v>345</v>
      </c>
      <c r="D131" s="4" t="s">
        <v>22</v>
      </c>
      <c r="F131">
        <v>3866883575</v>
      </c>
      <c r="G131" s="1" t="s">
        <v>434</v>
      </c>
      <c r="H131" s="1" t="s">
        <v>1211</v>
      </c>
      <c r="I131" s="1" t="s">
        <v>1087</v>
      </c>
      <c r="J131">
        <v>1520</v>
      </c>
    </row>
    <row r="132" spans="1:10" x14ac:dyDescent="0.25">
      <c r="A132" s="5" t="s">
        <v>349</v>
      </c>
      <c r="B132" s="6" t="s">
        <v>350</v>
      </c>
      <c r="C132" s="6" t="s">
        <v>351</v>
      </c>
      <c r="D132" s="7" t="s">
        <v>7</v>
      </c>
      <c r="F132">
        <v>1127056356</v>
      </c>
      <c r="G132" s="1" t="s">
        <v>317</v>
      </c>
      <c r="H132" s="1" t="s">
        <v>1212</v>
      </c>
      <c r="I132" s="1" t="s">
        <v>1081</v>
      </c>
      <c r="J132">
        <v>2050</v>
      </c>
    </row>
    <row r="133" spans="1:10" x14ac:dyDescent="0.25">
      <c r="A133" s="2" t="s">
        <v>352</v>
      </c>
      <c r="B133" s="3" t="s">
        <v>353</v>
      </c>
      <c r="C133" s="3" t="s">
        <v>354</v>
      </c>
      <c r="D133" s="4" t="s">
        <v>7</v>
      </c>
      <c r="F133">
        <v>1620242236</v>
      </c>
      <c r="G133" s="1" t="s">
        <v>314</v>
      </c>
      <c r="H133" s="1" t="s">
        <v>1213</v>
      </c>
      <c r="I133" s="1" t="s">
        <v>1087</v>
      </c>
      <c r="J133">
        <v>2336</v>
      </c>
    </row>
    <row r="134" spans="1:10" x14ac:dyDescent="0.25">
      <c r="A134" s="5" t="s">
        <v>355</v>
      </c>
      <c r="B134" s="6" t="s">
        <v>356</v>
      </c>
      <c r="C134" s="6" t="s">
        <v>357</v>
      </c>
      <c r="D134" s="7" t="s">
        <v>7</v>
      </c>
      <c r="F134">
        <v>6727559092</v>
      </c>
      <c r="G134" s="1" t="s">
        <v>862</v>
      </c>
      <c r="H134" s="1" t="s">
        <v>1214</v>
      </c>
      <c r="I134" s="1" t="s">
        <v>1087</v>
      </c>
      <c r="J134">
        <v>2034</v>
      </c>
    </row>
    <row r="135" spans="1:10" x14ac:dyDescent="0.25">
      <c r="A135" s="2" t="s">
        <v>358</v>
      </c>
      <c r="B135" s="3" t="s">
        <v>359</v>
      </c>
      <c r="C135" s="3" t="s">
        <v>360</v>
      </c>
      <c r="D135" s="4" t="s">
        <v>7</v>
      </c>
      <c r="F135">
        <v>3318203338</v>
      </c>
      <c r="G135" s="1" t="s">
        <v>636</v>
      </c>
      <c r="H135" s="1" t="s">
        <v>1215</v>
      </c>
      <c r="I135" s="1" t="s">
        <v>1087</v>
      </c>
      <c r="J135">
        <v>1900</v>
      </c>
    </row>
    <row r="136" spans="1:10" x14ac:dyDescent="0.25">
      <c r="A136" s="5" t="s">
        <v>361</v>
      </c>
      <c r="B136" s="6" t="s">
        <v>362</v>
      </c>
      <c r="C136" s="6" t="s">
        <v>363</v>
      </c>
      <c r="D136" s="7" t="s">
        <v>7</v>
      </c>
      <c r="F136">
        <v>5185759244</v>
      </c>
      <c r="G136" s="1" t="s">
        <v>636</v>
      </c>
      <c r="H136" s="1" t="s">
        <v>1216</v>
      </c>
      <c r="I136" s="1" t="s">
        <v>1081</v>
      </c>
      <c r="J136">
        <v>2277</v>
      </c>
    </row>
    <row r="137" spans="1:10" x14ac:dyDescent="0.25">
      <c r="A137" s="2" t="s">
        <v>364</v>
      </c>
      <c r="B137" s="3" t="s">
        <v>365</v>
      </c>
      <c r="C137" s="3" t="s">
        <v>366</v>
      </c>
      <c r="D137" s="4" t="s">
        <v>7</v>
      </c>
      <c r="F137">
        <v>3866883575</v>
      </c>
      <c r="G137" s="1" t="s">
        <v>434</v>
      </c>
      <c r="H137" s="1" t="s">
        <v>1217</v>
      </c>
      <c r="I137" s="1" t="s">
        <v>1087</v>
      </c>
      <c r="J137">
        <v>2994</v>
      </c>
    </row>
    <row r="138" spans="1:10" x14ac:dyDescent="0.25">
      <c r="A138" s="5" t="s">
        <v>367</v>
      </c>
      <c r="B138" s="6" t="s">
        <v>368</v>
      </c>
      <c r="C138" s="6" t="s">
        <v>369</v>
      </c>
      <c r="D138" s="7" t="s">
        <v>7</v>
      </c>
      <c r="F138">
        <v>6727559092</v>
      </c>
      <c r="G138" s="1" t="s">
        <v>862</v>
      </c>
      <c r="H138" s="1" t="s">
        <v>1218</v>
      </c>
      <c r="I138" s="1" t="s">
        <v>1087</v>
      </c>
      <c r="J138">
        <v>2315</v>
      </c>
    </row>
    <row r="139" spans="1:10" x14ac:dyDescent="0.25">
      <c r="A139" s="2" t="s">
        <v>370</v>
      </c>
      <c r="B139" s="3" t="s">
        <v>371</v>
      </c>
      <c r="C139" s="3" t="s">
        <v>372</v>
      </c>
      <c r="D139" s="4" t="s">
        <v>7</v>
      </c>
      <c r="F139">
        <v>1165493421</v>
      </c>
      <c r="G139" s="1" t="s">
        <v>636</v>
      </c>
      <c r="H139" s="1" t="s">
        <v>1219</v>
      </c>
      <c r="I139" s="1" t="s">
        <v>1087</v>
      </c>
      <c r="J139">
        <v>2560</v>
      </c>
    </row>
    <row r="140" spans="1:10" x14ac:dyDescent="0.25">
      <c r="A140" s="5" t="s">
        <v>373</v>
      </c>
      <c r="B140" s="6" t="s">
        <v>374</v>
      </c>
      <c r="C140" s="6" t="s">
        <v>375</v>
      </c>
      <c r="D140" s="7" t="s">
        <v>7</v>
      </c>
      <c r="F140">
        <v>4796841112</v>
      </c>
      <c r="G140" s="1" t="s">
        <v>533</v>
      </c>
      <c r="H140" s="1" t="s">
        <v>1220</v>
      </c>
      <c r="I140" s="1" t="s">
        <v>1087</v>
      </c>
      <c r="J140">
        <v>2391</v>
      </c>
    </row>
    <row r="141" spans="1:10" x14ac:dyDescent="0.25">
      <c r="A141" s="2" t="s">
        <v>376</v>
      </c>
      <c r="B141" s="3" t="s">
        <v>377</v>
      </c>
      <c r="C141" s="3" t="s">
        <v>377</v>
      </c>
      <c r="D141" s="4" t="s">
        <v>22</v>
      </c>
      <c r="F141">
        <v>5115061689</v>
      </c>
      <c r="G141" s="1" t="s">
        <v>702</v>
      </c>
      <c r="H141" s="1" t="s">
        <v>1221</v>
      </c>
      <c r="I141" s="1" t="s">
        <v>1087</v>
      </c>
      <c r="J141">
        <v>2085</v>
      </c>
    </row>
    <row r="142" spans="1:10" x14ac:dyDescent="0.25">
      <c r="A142" s="5" t="s">
        <v>378</v>
      </c>
      <c r="B142" s="6" t="s">
        <v>379</v>
      </c>
      <c r="C142" s="6" t="s">
        <v>377</v>
      </c>
      <c r="D142" s="7" t="s">
        <v>7</v>
      </c>
      <c r="F142">
        <v>1599095267</v>
      </c>
      <c r="G142" s="1" t="s">
        <v>636</v>
      </c>
      <c r="H142" s="1" t="s">
        <v>1222</v>
      </c>
      <c r="I142" s="1" t="s">
        <v>1087</v>
      </c>
      <c r="J142">
        <v>2105</v>
      </c>
    </row>
    <row r="143" spans="1:10" x14ac:dyDescent="0.25">
      <c r="A143" s="2" t="s">
        <v>380</v>
      </c>
      <c r="B143" s="3" t="s">
        <v>381</v>
      </c>
      <c r="C143" s="3" t="s">
        <v>382</v>
      </c>
      <c r="D143" s="4" t="s">
        <v>7</v>
      </c>
      <c r="F143">
        <v>3866883575</v>
      </c>
      <c r="G143" s="1" t="s">
        <v>434</v>
      </c>
      <c r="H143" s="1" t="s">
        <v>1223</v>
      </c>
      <c r="I143" s="1" t="s">
        <v>1087</v>
      </c>
      <c r="J143">
        <v>1928</v>
      </c>
    </row>
    <row r="144" spans="1:10" x14ac:dyDescent="0.25">
      <c r="A144" s="5" t="s">
        <v>383</v>
      </c>
      <c r="B144" s="6" t="s">
        <v>384</v>
      </c>
      <c r="C144" s="6" t="s">
        <v>385</v>
      </c>
      <c r="D144" s="7" t="s">
        <v>7</v>
      </c>
      <c r="F144">
        <v>4779174699</v>
      </c>
      <c r="G144" s="1" t="s">
        <v>1003</v>
      </c>
      <c r="H144" s="1" t="s">
        <v>1224</v>
      </c>
      <c r="I144" s="1" t="s">
        <v>1081</v>
      </c>
      <c r="J144">
        <v>1852</v>
      </c>
    </row>
    <row r="145" spans="1:10" x14ac:dyDescent="0.25">
      <c r="A145" s="2" t="s">
        <v>386</v>
      </c>
      <c r="B145" s="3" t="s">
        <v>385</v>
      </c>
      <c r="C145" s="3" t="s">
        <v>385</v>
      </c>
      <c r="D145" s="4" t="s">
        <v>22</v>
      </c>
      <c r="F145">
        <v>3866883575</v>
      </c>
      <c r="G145" s="1" t="s">
        <v>434</v>
      </c>
      <c r="H145" s="1" t="s">
        <v>1225</v>
      </c>
      <c r="I145" s="1" t="s">
        <v>1087</v>
      </c>
      <c r="J145">
        <v>2784</v>
      </c>
    </row>
    <row r="146" spans="1:10" x14ac:dyDescent="0.25">
      <c r="A146" s="5" t="s">
        <v>387</v>
      </c>
      <c r="B146" s="6" t="s">
        <v>388</v>
      </c>
      <c r="C146" s="6" t="s">
        <v>389</v>
      </c>
      <c r="D146" s="7" t="s">
        <v>7</v>
      </c>
      <c r="F146">
        <v>4779174699</v>
      </c>
      <c r="G146" s="1" t="s">
        <v>1003</v>
      </c>
      <c r="H146" s="1" t="s">
        <v>1226</v>
      </c>
      <c r="I146" s="1" t="s">
        <v>1087</v>
      </c>
      <c r="J146">
        <v>2348</v>
      </c>
    </row>
    <row r="147" spans="1:10" x14ac:dyDescent="0.25">
      <c r="A147" s="2" t="s">
        <v>390</v>
      </c>
      <c r="B147" s="3" t="s">
        <v>391</v>
      </c>
      <c r="C147" s="3" t="s">
        <v>392</v>
      </c>
      <c r="D147" s="4" t="s">
        <v>7</v>
      </c>
      <c r="F147">
        <v>3318203338</v>
      </c>
      <c r="G147" s="1" t="s">
        <v>248</v>
      </c>
      <c r="H147" s="1" t="s">
        <v>1227</v>
      </c>
      <c r="I147" s="1" t="s">
        <v>1087</v>
      </c>
      <c r="J147">
        <v>2305</v>
      </c>
    </row>
    <row r="148" spans="1:10" x14ac:dyDescent="0.25">
      <c r="A148" s="5" t="s">
        <v>393</v>
      </c>
      <c r="B148" s="6" t="s">
        <v>394</v>
      </c>
      <c r="C148" s="6" t="s">
        <v>395</v>
      </c>
      <c r="D148" s="7" t="s">
        <v>7</v>
      </c>
      <c r="F148">
        <v>1433397952</v>
      </c>
      <c r="G148" s="1" t="s">
        <v>314</v>
      </c>
      <c r="H148" s="1" t="s">
        <v>1228</v>
      </c>
      <c r="I148" s="1" t="s">
        <v>1081</v>
      </c>
      <c r="J148">
        <v>2282</v>
      </c>
    </row>
    <row r="149" spans="1:10" x14ac:dyDescent="0.25">
      <c r="A149" s="2" t="s">
        <v>396</v>
      </c>
      <c r="B149" s="3" t="s">
        <v>397</v>
      </c>
      <c r="C149" s="3" t="s">
        <v>398</v>
      </c>
      <c r="D149" s="4" t="s">
        <v>7</v>
      </c>
      <c r="F149">
        <v>4326751508</v>
      </c>
      <c r="G149" s="1" t="s">
        <v>405</v>
      </c>
      <c r="H149" s="1" t="s">
        <v>1229</v>
      </c>
      <c r="I149" s="1" t="s">
        <v>1081</v>
      </c>
      <c r="J149">
        <v>2408</v>
      </c>
    </row>
    <row r="150" spans="1:10" x14ac:dyDescent="0.25">
      <c r="A150" s="5" t="s">
        <v>399</v>
      </c>
      <c r="B150" s="6" t="s">
        <v>400</v>
      </c>
      <c r="C150" s="6" t="s">
        <v>401</v>
      </c>
      <c r="D150" s="7" t="s">
        <v>7</v>
      </c>
      <c r="F150">
        <v>3470453173</v>
      </c>
      <c r="G150" s="1" t="s">
        <v>85</v>
      </c>
      <c r="H150" s="1" t="s">
        <v>1230</v>
      </c>
      <c r="I150" s="1" t="s">
        <v>1087</v>
      </c>
      <c r="J150">
        <v>1835</v>
      </c>
    </row>
    <row r="151" spans="1:10" x14ac:dyDescent="0.25">
      <c r="A151" s="2" t="s">
        <v>402</v>
      </c>
      <c r="B151" s="3" t="s">
        <v>403</v>
      </c>
      <c r="C151" s="3" t="s">
        <v>404</v>
      </c>
      <c r="D151" s="4" t="s">
        <v>7</v>
      </c>
      <c r="F151">
        <v>3783578981</v>
      </c>
      <c r="G151" s="1" t="s">
        <v>405</v>
      </c>
      <c r="H151" s="1" t="s">
        <v>1231</v>
      </c>
      <c r="I151" s="1" t="s">
        <v>1081</v>
      </c>
      <c r="J151">
        <v>1869</v>
      </c>
    </row>
    <row r="152" spans="1:10" x14ac:dyDescent="0.25">
      <c r="A152" s="5" t="s">
        <v>405</v>
      </c>
      <c r="B152" s="6" t="s">
        <v>406</v>
      </c>
      <c r="C152" s="6" t="s">
        <v>406</v>
      </c>
      <c r="D152" s="7" t="s">
        <v>22</v>
      </c>
      <c r="F152">
        <v>3568004264</v>
      </c>
      <c r="G152" s="1" t="s">
        <v>428</v>
      </c>
      <c r="H152" s="1" t="s">
        <v>1232</v>
      </c>
      <c r="I152" s="1" t="s">
        <v>1087</v>
      </c>
      <c r="J152">
        <v>1804</v>
      </c>
    </row>
    <row r="153" spans="1:10" x14ac:dyDescent="0.25">
      <c r="A153" s="2" t="s">
        <v>407</v>
      </c>
      <c r="B153" s="3" t="s">
        <v>408</v>
      </c>
      <c r="C153" s="3" t="s">
        <v>406</v>
      </c>
      <c r="D153" s="4" t="s">
        <v>7</v>
      </c>
      <c r="F153">
        <v>6758177505</v>
      </c>
      <c r="G153" s="1" t="s">
        <v>862</v>
      </c>
      <c r="H153" s="1" t="s">
        <v>1233</v>
      </c>
      <c r="I153" s="1" t="s">
        <v>1081</v>
      </c>
      <c r="J153">
        <v>2990</v>
      </c>
    </row>
    <row r="154" spans="1:10" x14ac:dyDescent="0.25">
      <c r="A154" s="5" t="s">
        <v>409</v>
      </c>
      <c r="B154" s="6" t="s">
        <v>410</v>
      </c>
      <c r="C154" s="6" t="s">
        <v>410</v>
      </c>
      <c r="D154" s="7" t="s">
        <v>22</v>
      </c>
      <c r="F154">
        <v>5115061689</v>
      </c>
      <c r="G154" s="1" t="s">
        <v>702</v>
      </c>
      <c r="H154" s="1" t="s">
        <v>1234</v>
      </c>
      <c r="I154" s="1" t="s">
        <v>1081</v>
      </c>
      <c r="J154">
        <v>2840</v>
      </c>
    </row>
    <row r="155" spans="1:10" x14ac:dyDescent="0.25">
      <c r="A155" s="2" t="s">
        <v>411</v>
      </c>
      <c r="B155" s="3" t="s">
        <v>412</v>
      </c>
      <c r="C155" s="3" t="s">
        <v>410</v>
      </c>
      <c r="D155" s="4" t="s">
        <v>7</v>
      </c>
      <c r="F155">
        <v>5418968184</v>
      </c>
      <c r="G155" s="1" t="s">
        <v>248</v>
      </c>
      <c r="H155" s="1" t="s">
        <v>1235</v>
      </c>
      <c r="I155" s="1" t="s">
        <v>1087</v>
      </c>
      <c r="J155">
        <v>1929</v>
      </c>
    </row>
    <row r="156" spans="1:10" x14ac:dyDescent="0.25">
      <c r="A156" s="5" t="s">
        <v>413</v>
      </c>
      <c r="B156" s="6" t="s">
        <v>414</v>
      </c>
      <c r="C156" s="6" t="s">
        <v>415</v>
      </c>
      <c r="D156" s="7" t="s">
        <v>7</v>
      </c>
      <c r="F156">
        <v>2581219876</v>
      </c>
      <c r="G156" s="1" t="s">
        <v>141</v>
      </c>
      <c r="H156" s="1" t="s">
        <v>1236</v>
      </c>
      <c r="I156" s="1" t="s">
        <v>1081</v>
      </c>
      <c r="J156">
        <v>2506</v>
      </c>
    </row>
    <row r="157" spans="1:10" x14ac:dyDescent="0.25">
      <c r="A157" s="2" t="s">
        <v>416</v>
      </c>
      <c r="B157" s="3" t="s">
        <v>417</v>
      </c>
      <c r="C157" s="3" t="s">
        <v>418</v>
      </c>
      <c r="D157" s="4" t="s">
        <v>7</v>
      </c>
      <c r="F157">
        <v>1127056356</v>
      </c>
      <c r="G157" s="1" t="s">
        <v>317</v>
      </c>
      <c r="H157" s="1" t="s">
        <v>1237</v>
      </c>
      <c r="I157" s="1" t="s">
        <v>1087</v>
      </c>
      <c r="J157">
        <v>2924</v>
      </c>
    </row>
    <row r="158" spans="1:10" x14ac:dyDescent="0.25">
      <c r="A158" s="5" t="s">
        <v>419</v>
      </c>
      <c r="B158" s="6" t="s">
        <v>420</v>
      </c>
      <c r="C158" s="6" t="s">
        <v>421</v>
      </c>
      <c r="D158" s="7" t="s">
        <v>7</v>
      </c>
      <c r="F158">
        <v>5528435390</v>
      </c>
      <c r="G158" s="1" t="s">
        <v>248</v>
      </c>
      <c r="H158" s="1" t="s">
        <v>1238</v>
      </c>
      <c r="I158" s="1" t="s">
        <v>1081</v>
      </c>
      <c r="J158">
        <v>2283</v>
      </c>
    </row>
    <row r="159" spans="1:10" x14ac:dyDescent="0.25">
      <c r="A159" s="2" t="s">
        <v>422</v>
      </c>
      <c r="B159" s="3" t="s">
        <v>423</v>
      </c>
      <c r="C159" s="3" t="s">
        <v>424</v>
      </c>
      <c r="D159" s="4" t="s">
        <v>7</v>
      </c>
      <c r="F159">
        <v>4241680809</v>
      </c>
      <c r="G159" s="1" t="s">
        <v>248</v>
      </c>
      <c r="H159" s="1" t="s">
        <v>1239</v>
      </c>
      <c r="I159" s="1" t="s">
        <v>1081</v>
      </c>
      <c r="J159">
        <v>2350</v>
      </c>
    </row>
    <row r="160" spans="1:10" x14ac:dyDescent="0.25">
      <c r="A160" s="5" t="s">
        <v>425</v>
      </c>
      <c r="B160" s="6" t="s">
        <v>426</v>
      </c>
      <c r="C160" s="6" t="s">
        <v>427</v>
      </c>
      <c r="D160" s="7" t="s">
        <v>7</v>
      </c>
      <c r="F160">
        <v>2245871126</v>
      </c>
      <c r="G160" s="1" t="s">
        <v>73</v>
      </c>
      <c r="H160" s="1" t="s">
        <v>1240</v>
      </c>
      <c r="I160" s="1" t="s">
        <v>1081</v>
      </c>
      <c r="J160">
        <v>2340</v>
      </c>
    </row>
    <row r="161" spans="1:10" x14ac:dyDescent="0.25">
      <c r="A161" s="2" t="s">
        <v>428</v>
      </c>
      <c r="B161" s="3" t="s">
        <v>429</v>
      </c>
      <c r="C161" s="3" t="s">
        <v>430</v>
      </c>
      <c r="D161" s="4" t="s">
        <v>7</v>
      </c>
      <c r="F161">
        <v>1620242236</v>
      </c>
      <c r="G161" s="1" t="s">
        <v>314</v>
      </c>
      <c r="H161" s="1" t="s">
        <v>1241</v>
      </c>
      <c r="I161" s="1" t="s">
        <v>1081</v>
      </c>
      <c r="J161">
        <v>2368</v>
      </c>
    </row>
    <row r="162" spans="1:10" x14ac:dyDescent="0.25">
      <c r="A162" s="5" t="s">
        <v>431</v>
      </c>
      <c r="B162" s="6" t="s">
        <v>432</v>
      </c>
      <c r="C162" s="6" t="s">
        <v>433</v>
      </c>
      <c r="D162" s="7" t="s">
        <v>7</v>
      </c>
      <c r="F162">
        <v>4796841112</v>
      </c>
      <c r="G162" s="1" t="s">
        <v>533</v>
      </c>
      <c r="H162" s="1" t="s">
        <v>1242</v>
      </c>
      <c r="I162" s="1" t="s">
        <v>1081</v>
      </c>
      <c r="J162">
        <v>3336</v>
      </c>
    </row>
    <row r="163" spans="1:10" x14ac:dyDescent="0.25">
      <c r="A163" s="2" t="s">
        <v>434</v>
      </c>
      <c r="B163" s="3" t="s">
        <v>430</v>
      </c>
      <c r="C163" s="3" t="s">
        <v>430</v>
      </c>
      <c r="D163" s="4" t="s">
        <v>22</v>
      </c>
      <c r="F163">
        <v>3783578981</v>
      </c>
      <c r="G163" s="1" t="s">
        <v>405</v>
      </c>
      <c r="H163" s="1" t="s">
        <v>1243</v>
      </c>
      <c r="I163" s="1" t="s">
        <v>1081</v>
      </c>
      <c r="J163">
        <v>2510</v>
      </c>
    </row>
    <row r="164" spans="1:10" x14ac:dyDescent="0.25">
      <c r="A164" s="5" t="s">
        <v>435</v>
      </c>
      <c r="B164" s="6" t="s">
        <v>436</v>
      </c>
      <c r="C164" s="6" t="s">
        <v>437</v>
      </c>
      <c r="D164" s="7" t="s">
        <v>7</v>
      </c>
      <c r="F164">
        <v>5115061689</v>
      </c>
      <c r="G164" s="1" t="s">
        <v>704</v>
      </c>
      <c r="H164" s="1" t="s">
        <v>1244</v>
      </c>
      <c r="I164" s="1" t="s">
        <v>1081</v>
      </c>
      <c r="J164">
        <v>2358</v>
      </c>
    </row>
    <row r="165" spans="1:10" x14ac:dyDescent="0.25">
      <c r="A165" s="2" t="s">
        <v>438</v>
      </c>
      <c r="B165" s="3" t="s">
        <v>439</v>
      </c>
      <c r="C165" s="3" t="s">
        <v>440</v>
      </c>
      <c r="D165" s="4" t="s">
        <v>7</v>
      </c>
      <c r="F165">
        <v>6758177505</v>
      </c>
      <c r="G165" s="1" t="s">
        <v>562</v>
      </c>
      <c r="H165" s="1" t="s">
        <v>1245</v>
      </c>
      <c r="I165" s="1" t="s">
        <v>1081</v>
      </c>
      <c r="J165">
        <v>3104</v>
      </c>
    </row>
    <row r="166" spans="1:10" x14ac:dyDescent="0.25">
      <c r="A166" s="5" t="s">
        <v>441</v>
      </c>
      <c r="B166" s="6" t="s">
        <v>442</v>
      </c>
      <c r="C166" s="6" t="s">
        <v>443</v>
      </c>
      <c r="D166" s="7" t="s">
        <v>7</v>
      </c>
      <c r="F166">
        <v>2138598159</v>
      </c>
      <c r="G166" s="1" t="s">
        <v>143</v>
      </c>
      <c r="H166" s="1" t="s">
        <v>1246</v>
      </c>
      <c r="I166" s="1" t="s">
        <v>1081</v>
      </c>
      <c r="J166">
        <v>2391</v>
      </c>
    </row>
    <row r="167" spans="1:10" x14ac:dyDescent="0.25">
      <c r="A167" s="2" t="s">
        <v>444</v>
      </c>
      <c r="B167" s="3" t="s">
        <v>445</v>
      </c>
      <c r="C167" s="3" t="s">
        <v>446</v>
      </c>
      <c r="D167" s="4" t="s">
        <v>7</v>
      </c>
      <c r="F167">
        <v>1524870307</v>
      </c>
      <c r="G167" s="1" t="s">
        <v>248</v>
      </c>
      <c r="H167" s="1" t="s">
        <v>1247</v>
      </c>
      <c r="I167" s="1" t="s">
        <v>1081</v>
      </c>
      <c r="J167">
        <v>2790</v>
      </c>
    </row>
    <row r="168" spans="1:10" x14ac:dyDescent="0.25">
      <c r="A168" s="5" t="s">
        <v>447</v>
      </c>
      <c r="B168" s="6" t="s">
        <v>448</v>
      </c>
      <c r="C168" s="6" t="s">
        <v>449</v>
      </c>
      <c r="D168" s="7" t="s">
        <v>7</v>
      </c>
      <c r="F168">
        <v>4796841112</v>
      </c>
      <c r="G168" s="1" t="s">
        <v>533</v>
      </c>
      <c r="H168" s="1" t="s">
        <v>1248</v>
      </c>
      <c r="I168" s="1" t="s">
        <v>1081</v>
      </c>
      <c r="J168">
        <v>1796</v>
      </c>
    </row>
    <row r="169" spans="1:10" x14ac:dyDescent="0.25">
      <c r="A169" s="2" t="s">
        <v>450</v>
      </c>
      <c r="B169" s="3" t="s">
        <v>451</v>
      </c>
      <c r="C169" s="3" t="s">
        <v>452</v>
      </c>
      <c r="D169" s="4" t="s">
        <v>7</v>
      </c>
      <c r="F169">
        <v>3470453173</v>
      </c>
      <c r="G169" s="1" t="s">
        <v>85</v>
      </c>
      <c r="H169" s="1" t="s">
        <v>1249</v>
      </c>
      <c r="I169" s="1" t="s">
        <v>1081</v>
      </c>
      <c r="J169">
        <v>1790</v>
      </c>
    </row>
    <row r="170" spans="1:10" x14ac:dyDescent="0.25">
      <c r="A170" s="5" t="s">
        <v>453</v>
      </c>
      <c r="B170" s="6" t="s">
        <v>454</v>
      </c>
      <c r="C170" s="6" t="s">
        <v>455</v>
      </c>
      <c r="D170" s="7" t="s">
        <v>7</v>
      </c>
      <c r="F170">
        <v>4761158900</v>
      </c>
      <c r="G170" s="1" t="s">
        <v>294</v>
      </c>
      <c r="H170" s="1" t="s">
        <v>1250</v>
      </c>
      <c r="I170" s="1" t="s">
        <v>1087</v>
      </c>
      <c r="J170">
        <v>2460</v>
      </c>
    </row>
    <row r="171" spans="1:10" x14ac:dyDescent="0.25">
      <c r="A171" s="2" t="s">
        <v>456</v>
      </c>
      <c r="B171" s="3" t="s">
        <v>457</v>
      </c>
      <c r="C171" s="3" t="s">
        <v>458</v>
      </c>
      <c r="D171" s="4" t="s">
        <v>7</v>
      </c>
      <c r="F171">
        <v>3866883575</v>
      </c>
      <c r="G171" s="1" t="s">
        <v>434</v>
      </c>
      <c r="H171" s="1" t="s">
        <v>1251</v>
      </c>
      <c r="I171" s="1" t="s">
        <v>1081</v>
      </c>
      <c r="J171">
        <v>3300</v>
      </c>
    </row>
    <row r="172" spans="1:10" x14ac:dyDescent="0.25">
      <c r="A172" s="5" t="s">
        <v>459</v>
      </c>
      <c r="B172" s="6" t="s">
        <v>460</v>
      </c>
      <c r="C172" s="6" t="s">
        <v>461</v>
      </c>
      <c r="D172" s="7" t="s">
        <v>7</v>
      </c>
      <c r="F172">
        <v>4326751508</v>
      </c>
      <c r="G172" s="1" t="s">
        <v>405</v>
      </c>
      <c r="H172" s="1" t="s">
        <v>1252</v>
      </c>
      <c r="I172" s="1" t="s">
        <v>1081</v>
      </c>
      <c r="J172">
        <v>2365</v>
      </c>
    </row>
    <row r="173" spans="1:10" x14ac:dyDescent="0.25">
      <c r="A173" s="2" t="s">
        <v>462</v>
      </c>
      <c r="B173" s="3" t="s">
        <v>463</v>
      </c>
      <c r="C173" s="3" t="s">
        <v>464</v>
      </c>
      <c r="D173" s="4" t="s">
        <v>7</v>
      </c>
      <c r="F173">
        <v>1278408463</v>
      </c>
      <c r="G173" s="1" t="s">
        <v>312</v>
      </c>
      <c r="H173" s="1" t="s">
        <v>1253</v>
      </c>
      <c r="I173" s="1" t="s">
        <v>1087</v>
      </c>
      <c r="J173">
        <v>3270</v>
      </c>
    </row>
    <row r="174" spans="1:10" x14ac:dyDescent="0.25">
      <c r="A174" s="5" t="s">
        <v>465</v>
      </c>
      <c r="B174" s="6" t="s">
        <v>466</v>
      </c>
      <c r="C174" s="6" t="s">
        <v>467</v>
      </c>
      <c r="D174" s="7" t="s">
        <v>7</v>
      </c>
      <c r="F174">
        <v>4326751508</v>
      </c>
      <c r="G174" s="1" t="s">
        <v>405</v>
      </c>
      <c r="H174" s="1" t="s">
        <v>1254</v>
      </c>
      <c r="I174" s="1" t="s">
        <v>1081</v>
      </c>
      <c r="J174">
        <v>1835</v>
      </c>
    </row>
    <row r="175" spans="1:10" x14ac:dyDescent="0.25">
      <c r="A175" s="2" t="s">
        <v>468</v>
      </c>
      <c r="B175" s="3" t="s">
        <v>469</v>
      </c>
      <c r="C175" s="3" t="s">
        <v>470</v>
      </c>
      <c r="D175" s="4" t="s">
        <v>7</v>
      </c>
      <c r="F175">
        <v>1581329071</v>
      </c>
      <c r="G175" s="1" t="s">
        <v>248</v>
      </c>
      <c r="H175" s="1" t="s">
        <v>1255</v>
      </c>
      <c r="I175" s="1" t="s">
        <v>1087</v>
      </c>
      <c r="J175">
        <v>2320</v>
      </c>
    </row>
    <row r="176" spans="1:10" x14ac:dyDescent="0.25">
      <c r="A176" s="5" t="s">
        <v>471</v>
      </c>
      <c r="B176" s="6" t="s">
        <v>472</v>
      </c>
      <c r="C176" s="6" t="s">
        <v>473</v>
      </c>
      <c r="D176" s="7" t="s">
        <v>7</v>
      </c>
      <c r="F176">
        <v>1620242236</v>
      </c>
      <c r="G176" s="1" t="s">
        <v>314</v>
      </c>
      <c r="H176" s="1" t="s">
        <v>1256</v>
      </c>
      <c r="I176" s="1" t="s">
        <v>1081</v>
      </c>
      <c r="J176">
        <v>2067</v>
      </c>
    </row>
    <row r="177" spans="1:10" x14ac:dyDescent="0.25">
      <c r="A177" s="2" t="s">
        <v>474</v>
      </c>
      <c r="B177" s="3" t="s">
        <v>475</v>
      </c>
      <c r="C177" s="3" t="s">
        <v>476</v>
      </c>
      <c r="D177" s="4" t="s">
        <v>7</v>
      </c>
      <c r="F177">
        <v>2214740049</v>
      </c>
      <c r="G177" s="1" t="s">
        <v>56</v>
      </c>
      <c r="H177" s="1" t="s">
        <v>1257</v>
      </c>
      <c r="I177" s="1" t="s">
        <v>1081</v>
      </c>
      <c r="J177">
        <v>2366</v>
      </c>
    </row>
    <row r="178" spans="1:10" x14ac:dyDescent="0.25">
      <c r="A178" s="5" t="s">
        <v>477</v>
      </c>
      <c r="B178" s="6" t="s">
        <v>478</v>
      </c>
      <c r="C178" s="6" t="s">
        <v>479</v>
      </c>
      <c r="D178" s="7" t="s">
        <v>7</v>
      </c>
      <c r="F178">
        <v>1433397952</v>
      </c>
      <c r="G178" s="1" t="s">
        <v>314</v>
      </c>
      <c r="H178" s="1" t="s">
        <v>1258</v>
      </c>
      <c r="I178" s="1" t="s">
        <v>1081</v>
      </c>
      <c r="J178">
        <v>1990</v>
      </c>
    </row>
    <row r="179" spans="1:10" x14ac:dyDescent="0.25">
      <c r="A179" s="2" t="s">
        <v>480</v>
      </c>
      <c r="B179" s="3" t="s">
        <v>481</v>
      </c>
      <c r="C179" s="3" t="s">
        <v>482</v>
      </c>
      <c r="D179" s="4" t="s">
        <v>7</v>
      </c>
      <c r="F179">
        <v>2581219876</v>
      </c>
      <c r="G179" s="1" t="s">
        <v>141</v>
      </c>
      <c r="H179" s="1" t="s">
        <v>1259</v>
      </c>
      <c r="I179" s="1" t="s">
        <v>1087</v>
      </c>
      <c r="J179">
        <v>2120</v>
      </c>
    </row>
    <row r="180" spans="1:10" x14ac:dyDescent="0.25">
      <c r="A180" s="5" t="s">
        <v>483</v>
      </c>
      <c r="B180" s="6" t="s">
        <v>484</v>
      </c>
      <c r="C180" s="6" t="s">
        <v>485</v>
      </c>
      <c r="D180" s="7" t="s">
        <v>7</v>
      </c>
      <c r="F180">
        <v>3470453173</v>
      </c>
      <c r="G180" s="1" t="s">
        <v>85</v>
      </c>
      <c r="H180" s="1" t="s">
        <v>1260</v>
      </c>
      <c r="I180" s="1" t="s">
        <v>1087</v>
      </c>
      <c r="J180">
        <v>1620</v>
      </c>
    </row>
    <row r="181" spans="1:10" x14ac:dyDescent="0.25">
      <c r="A181" s="2" t="s">
        <v>486</v>
      </c>
      <c r="B181" s="3" t="s">
        <v>487</v>
      </c>
      <c r="C181" s="3" t="s">
        <v>488</v>
      </c>
      <c r="D181" s="4" t="s">
        <v>7</v>
      </c>
      <c r="F181">
        <v>4761158900</v>
      </c>
      <c r="G181" s="1" t="s">
        <v>294</v>
      </c>
      <c r="H181" s="1" t="s">
        <v>1261</v>
      </c>
      <c r="I181" s="1" t="s">
        <v>1081</v>
      </c>
      <c r="J181">
        <v>2080</v>
      </c>
    </row>
    <row r="182" spans="1:10" x14ac:dyDescent="0.25">
      <c r="A182" s="5" t="s">
        <v>489</v>
      </c>
      <c r="B182" s="6" t="s">
        <v>490</v>
      </c>
      <c r="C182" s="6" t="s">
        <v>490</v>
      </c>
      <c r="D182" s="7" t="s">
        <v>22</v>
      </c>
      <c r="F182">
        <v>1820566794</v>
      </c>
      <c r="G182" s="1" t="s">
        <v>604</v>
      </c>
      <c r="H182" s="1" t="s">
        <v>1262</v>
      </c>
      <c r="I182" s="1" t="s">
        <v>1087</v>
      </c>
      <c r="J182">
        <v>2658</v>
      </c>
    </row>
    <row r="183" spans="1:10" x14ac:dyDescent="0.25">
      <c r="A183" s="2" t="s">
        <v>491</v>
      </c>
      <c r="B183" s="3" t="s">
        <v>492</v>
      </c>
      <c r="C183" s="3" t="s">
        <v>493</v>
      </c>
      <c r="D183" s="4" t="s">
        <v>7</v>
      </c>
      <c r="F183">
        <v>4761158900</v>
      </c>
      <c r="G183" s="1" t="s">
        <v>294</v>
      </c>
      <c r="H183" s="1" t="s">
        <v>1263</v>
      </c>
      <c r="I183" s="1" t="s">
        <v>1087</v>
      </c>
      <c r="J183">
        <v>2582</v>
      </c>
    </row>
    <row r="184" spans="1:10" x14ac:dyDescent="0.25">
      <c r="A184" s="5" t="s">
        <v>494</v>
      </c>
      <c r="B184" s="6" t="s">
        <v>495</v>
      </c>
      <c r="C184" s="6" t="s">
        <v>496</v>
      </c>
      <c r="D184" s="7" t="s">
        <v>7</v>
      </c>
      <c r="F184">
        <v>1278408463</v>
      </c>
      <c r="G184" s="1" t="s">
        <v>312</v>
      </c>
      <c r="H184" s="1" t="s">
        <v>1264</v>
      </c>
      <c r="I184" s="1" t="s">
        <v>1087</v>
      </c>
      <c r="J184">
        <v>2852</v>
      </c>
    </row>
    <row r="185" spans="1:10" x14ac:dyDescent="0.25">
      <c r="A185" s="2" t="s">
        <v>497</v>
      </c>
      <c r="B185" s="3" t="s">
        <v>498</v>
      </c>
      <c r="C185" s="3" t="s">
        <v>499</v>
      </c>
      <c r="D185" s="4" t="s">
        <v>7</v>
      </c>
      <c r="F185">
        <v>5229945534</v>
      </c>
      <c r="G185" s="1" t="s">
        <v>248</v>
      </c>
      <c r="H185" s="1" t="s">
        <v>1265</v>
      </c>
      <c r="I185" s="1" t="s">
        <v>1081</v>
      </c>
      <c r="J185">
        <v>1968</v>
      </c>
    </row>
    <row r="186" spans="1:10" x14ac:dyDescent="0.25">
      <c r="A186" s="5" t="s">
        <v>500</v>
      </c>
      <c r="B186" s="6" t="s">
        <v>501</v>
      </c>
      <c r="C186" s="6" t="s">
        <v>502</v>
      </c>
      <c r="D186" s="7" t="s">
        <v>7</v>
      </c>
      <c r="F186">
        <v>3783578981</v>
      </c>
      <c r="G186" s="1" t="s">
        <v>405</v>
      </c>
      <c r="H186" s="1" t="s">
        <v>1266</v>
      </c>
      <c r="I186" s="1" t="s">
        <v>1081</v>
      </c>
      <c r="J186">
        <v>3160</v>
      </c>
    </row>
    <row r="187" spans="1:10" x14ac:dyDescent="0.25">
      <c r="A187" s="2" t="s">
        <v>503</v>
      </c>
      <c r="B187" s="3" t="s">
        <v>504</v>
      </c>
      <c r="C187" s="3" t="s">
        <v>505</v>
      </c>
      <c r="D187" s="4" t="s">
        <v>7</v>
      </c>
      <c r="F187">
        <v>4458233905</v>
      </c>
      <c r="G187" s="1" t="s">
        <v>1003</v>
      </c>
      <c r="H187" s="1" t="s">
        <v>1267</v>
      </c>
      <c r="I187" s="1" t="s">
        <v>1087</v>
      </c>
      <c r="J187">
        <v>2022</v>
      </c>
    </row>
    <row r="188" spans="1:10" x14ac:dyDescent="0.25">
      <c r="A188" s="5" t="s">
        <v>506</v>
      </c>
      <c r="B188" s="6" t="s">
        <v>507</v>
      </c>
      <c r="C188" s="6" t="s">
        <v>508</v>
      </c>
      <c r="D188" s="7" t="s">
        <v>7</v>
      </c>
      <c r="F188">
        <v>1871447797</v>
      </c>
      <c r="G188" s="1" t="s">
        <v>248</v>
      </c>
      <c r="H188" s="1" t="s">
        <v>1268</v>
      </c>
      <c r="I188" s="1" t="s">
        <v>1081</v>
      </c>
      <c r="J188">
        <v>2350</v>
      </c>
    </row>
    <row r="189" spans="1:10" x14ac:dyDescent="0.25">
      <c r="A189" s="2" t="s">
        <v>509</v>
      </c>
      <c r="B189" s="3" t="s">
        <v>507</v>
      </c>
      <c r="C189" s="3" t="s">
        <v>510</v>
      </c>
      <c r="D189" s="4" t="s">
        <v>7</v>
      </c>
      <c r="F189">
        <v>4761158900</v>
      </c>
      <c r="G189" s="1" t="s">
        <v>294</v>
      </c>
      <c r="H189" s="1" t="s">
        <v>1269</v>
      </c>
      <c r="I189" s="1" t="s">
        <v>1087</v>
      </c>
      <c r="J189">
        <v>2468</v>
      </c>
    </row>
    <row r="190" spans="1:10" x14ac:dyDescent="0.25">
      <c r="A190" s="5" t="s">
        <v>511</v>
      </c>
      <c r="B190" s="6" t="s">
        <v>512</v>
      </c>
      <c r="C190" s="6" t="s">
        <v>513</v>
      </c>
      <c r="D190" s="7" t="s">
        <v>7</v>
      </c>
      <c r="F190">
        <v>2581219876</v>
      </c>
      <c r="G190" s="1" t="s">
        <v>141</v>
      </c>
      <c r="H190" s="1" t="s">
        <v>1270</v>
      </c>
      <c r="I190" s="1" t="s">
        <v>1081</v>
      </c>
      <c r="J190">
        <v>2610</v>
      </c>
    </row>
    <row r="191" spans="1:10" x14ac:dyDescent="0.25">
      <c r="A191" s="2" t="s">
        <v>514</v>
      </c>
      <c r="B191" s="3" t="s">
        <v>515</v>
      </c>
      <c r="C191" s="3" t="s">
        <v>516</v>
      </c>
      <c r="D191" s="4" t="s">
        <v>7</v>
      </c>
      <c r="F191">
        <v>4580185570</v>
      </c>
      <c r="G191" s="1" t="s">
        <v>248</v>
      </c>
      <c r="H191" s="1" t="s">
        <v>1271</v>
      </c>
      <c r="I191" s="1" t="s">
        <v>1087</v>
      </c>
      <c r="J191">
        <v>3204</v>
      </c>
    </row>
    <row r="192" spans="1:10" x14ac:dyDescent="0.25">
      <c r="A192" s="5" t="s">
        <v>517</v>
      </c>
      <c r="B192" s="6" t="s">
        <v>518</v>
      </c>
      <c r="C192" s="6" t="s">
        <v>519</v>
      </c>
      <c r="D192" s="7" t="s">
        <v>7</v>
      </c>
      <c r="F192">
        <v>1599095267</v>
      </c>
      <c r="G192" s="1" t="s">
        <v>248</v>
      </c>
      <c r="H192" s="1" t="s">
        <v>1272</v>
      </c>
      <c r="I192" s="1" t="s">
        <v>1087</v>
      </c>
      <c r="J192">
        <v>2516</v>
      </c>
    </row>
    <row r="193" spans="1:10" x14ac:dyDescent="0.25">
      <c r="A193" s="2" t="s">
        <v>520</v>
      </c>
      <c r="B193" s="3" t="s">
        <v>521</v>
      </c>
      <c r="C193" s="3" t="s">
        <v>522</v>
      </c>
      <c r="D193" s="4" t="s">
        <v>7</v>
      </c>
      <c r="F193">
        <v>3357631311</v>
      </c>
      <c r="G193" s="1" t="s">
        <v>1030</v>
      </c>
      <c r="H193" s="1" t="s">
        <v>1273</v>
      </c>
      <c r="I193" s="1" t="s">
        <v>1087</v>
      </c>
      <c r="J193">
        <v>1792</v>
      </c>
    </row>
    <row r="194" spans="1:10" x14ac:dyDescent="0.25">
      <c r="A194" s="5" t="s">
        <v>523</v>
      </c>
      <c r="B194" s="6" t="s">
        <v>524</v>
      </c>
      <c r="C194" s="6" t="s">
        <v>525</v>
      </c>
      <c r="D194" s="7" t="s">
        <v>7</v>
      </c>
      <c r="F194">
        <v>4241680809</v>
      </c>
      <c r="G194" s="1" t="s">
        <v>777</v>
      </c>
      <c r="H194" s="1" t="s">
        <v>1274</v>
      </c>
      <c r="I194" s="1" t="s">
        <v>1081</v>
      </c>
      <c r="J194">
        <v>2885</v>
      </c>
    </row>
    <row r="195" spans="1:10" x14ac:dyDescent="0.25">
      <c r="A195" s="2" t="s">
        <v>526</v>
      </c>
      <c r="B195" s="3" t="s">
        <v>516</v>
      </c>
      <c r="C195" s="3" t="s">
        <v>516</v>
      </c>
      <c r="D195" s="4" t="s">
        <v>22</v>
      </c>
      <c r="F195">
        <v>2281651150</v>
      </c>
      <c r="G195" s="1" t="s">
        <v>552</v>
      </c>
      <c r="H195" s="1" t="s">
        <v>1275</v>
      </c>
      <c r="I195" s="1" t="s">
        <v>1087</v>
      </c>
      <c r="J195">
        <v>2550</v>
      </c>
    </row>
    <row r="196" spans="1:10" x14ac:dyDescent="0.25">
      <c r="A196" s="5" t="s">
        <v>527</v>
      </c>
      <c r="B196" s="6" t="s">
        <v>528</v>
      </c>
      <c r="C196" s="6" t="s">
        <v>529</v>
      </c>
      <c r="D196" s="7" t="s">
        <v>7</v>
      </c>
      <c r="F196">
        <v>4779174699</v>
      </c>
      <c r="G196" s="1" t="s">
        <v>1003</v>
      </c>
      <c r="H196" s="1" t="s">
        <v>1276</v>
      </c>
      <c r="I196" s="1" t="s">
        <v>1081</v>
      </c>
      <c r="J196">
        <v>2362</v>
      </c>
    </row>
    <row r="197" spans="1:10" x14ac:dyDescent="0.25">
      <c r="A197" s="2" t="s">
        <v>530</v>
      </c>
      <c r="B197" s="3" t="s">
        <v>531</v>
      </c>
      <c r="C197" s="3" t="s">
        <v>532</v>
      </c>
      <c r="D197" s="4" t="s">
        <v>7</v>
      </c>
      <c r="F197">
        <v>5624201652</v>
      </c>
      <c r="G197" s="1" t="s">
        <v>864</v>
      </c>
      <c r="H197" s="1" t="s">
        <v>1277</v>
      </c>
      <c r="I197" s="1" t="s">
        <v>1081</v>
      </c>
      <c r="J197">
        <v>3216</v>
      </c>
    </row>
    <row r="198" spans="1:10" x14ac:dyDescent="0.25">
      <c r="A198" s="5" t="s">
        <v>533</v>
      </c>
      <c r="B198" s="6" t="s">
        <v>534</v>
      </c>
      <c r="C198" s="6" t="s">
        <v>535</v>
      </c>
      <c r="D198" s="7" t="s">
        <v>7</v>
      </c>
      <c r="F198">
        <v>3866883575</v>
      </c>
      <c r="G198" s="1" t="s">
        <v>434</v>
      </c>
      <c r="H198" s="1" t="s">
        <v>1278</v>
      </c>
      <c r="I198" s="1" t="s">
        <v>1087</v>
      </c>
      <c r="J198">
        <v>2034</v>
      </c>
    </row>
    <row r="199" spans="1:10" x14ac:dyDescent="0.25">
      <c r="A199" s="2" t="s">
        <v>536</v>
      </c>
      <c r="B199" s="3" t="s">
        <v>537</v>
      </c>
      <c r="C199" s="3" t="s">
        <v>538</v>
      </c>
      <c r="D199" s="4" t="s">
        <v>7</v>
      </c>
      <c r="F199">
        <v>4796841112</v>
      </c>
      <c r="G199" s="1" t="s">
        <v>533</v>
      </c>
      <c r="H199" s="1" t="s">
        <v>1279</v>
      </c>
      <c r="I199" s="1" t="s">
        <v>1087</v>
      </c>
      <c r="J199">
        <v>1885</v>
      </c>
    </row>
    <row r="200" spans="1:10" x14ac:dyDescent="0.25">
      <c r="A200" s="5" t="s">
        <v>539</v>
      </c>
      <c r="B200" s="6" t="s">
        <v>540</v>
      </c>
      <c r="C200" s="6" t="s">
        <v>538</v>
      </c>
      <c r="D200" s="7" t="s">
        <v>7</v>
      </c>
      <c r="F200">
        <v>5341884086</v>
      </c>
      <c r="G200" s="1" t="s">
        <v>777</v>
      </c>
      <c r="H200" s="1" t="s">
        <v>1280</v>
      </c>
      <c r="I200" s="1" t="s">
        <v>1087</v>
      </c>
      <c r="J200">
        <v>2490</v>
      </c>
    </row>
    <row r="201" spans="1:10" x14ac:dyDescent="0.25">
      <c r="A201" s="2" t="s">
        <v>541</v>
      </c>
      <c r="B201" s="3" t="s">
        <v>542</v>
      </c>
      <c r="C201" s="3" t="s">
        <v>543</v>
      </c>
      <c r="D201" s="4" t="s">
        <v>7</v>
      </c>
      <c r="F201">
        <v>4779174699</v>
      </c>
      <c r="G201" s="1" t="s">
        <v>1003</v>
      </c>
      <c r="H201" s="1" t="s">
        <v>1281</v>
      </c>
      <c r="I201" s="1" t="s">
        <v>1081</v>
      </c>
      <c r="J201">
        <v>2580</v>
      </c>
    </row>
    <row r="202" spans="1:10" x14ac:dyDescent="0.25">
      <c r="A202" s="5" t="s">
        <v>544</v>
      </c>
      <c r="B202" s="6" t="s">
        <v>545</v>
      </c>
      <c r="C202" s="6" t="s">
        <v>546</v>
      </c>
      <c r="D202" s="7" t="s">
        <v>7</v>
      </c>
      <c r="F202">
        <v>5514533376</v>
      </c>
      <c r="G202" s="1" t="s">
        <v>40</v>
      </c>
      <c r="H202" s="1" t="s">
        <v>1282</v>
      </c>
      <c r="I202" s="1" t="s">
        <v>1081</v>
      </c>
      <c r="J202">
        <v>2634</v>
      </c>
    </row>
    <row r="203" spans="1:10" x14ac:dyDescent="0.25">
      <c r="A203" s="2" t="s">
        <v>547</v>
      </c>
      <c r="B203" s="3" t="s">
        <v>548</v>
      </c>
      <c r="C203" s="3" t="s">
        <v>549</v>
      </c>
      <c r="D203" s="4" t="s">
        <v>7</v>
      </c>
      <c r="F203">
        <v>3470453173</v>
      </c>
      <c r="G203" s="1" t="s">
        <v>85</v>
      </c>
      <c r="H203" s="1" t="s">
        <v>1283</v>
      </c>
      <c r="I203" s="1" t="s">
        <v>1087</v>
      </c>
      <c r="J203">
        <v>2584</v>
      </c>
    </row>
    <row r="204" spans="1:10" x14ac:dyDescent="0.25">
      <c r="A204" s="5" t="s">
        <v>550</v>
      </c>
      <c r="B204" s="6" t="s">
        <v>551</v>
      </c>
      <c r="C204" s="6" t="s">
        <v>551</v>
      </c>
      <c r="D204" s="7" t="s">
        <v>22</v>
      </c>
      <c r="F204">
        <v>4796841112</v>
      </c>
      <c r="G204" s="1" t="s">
        <v>533</v>
      </c>
      <c r="H204" s="1" t="s">
        <v>1284</v>
      </c>
      <c r="I204" s="1" t="s">
        <v>1081</v>
      </c>
      <c r="J204">
        <v>2576</v>
      </c>
    </row>
    <row r="205" spans="1:10" x14ac:dyDescent="0.25">
      <c r="A205" s="2" t="s">
        <v>552</v>
      </c>
      <c r="B205" s="3" t="s">
        <v>553</v>
      </c>
      <c r="C205" s="3" t="s">
        <v>551</v>
      </c>
      <c r="D205" s="4" t="s">
        <v>7</v>
      </c>
      <c r="F205">
        <v>5266741491</v>
      </c>
      <c r="G205" s="1" t="s">
        <v>777</v>
      </c>
      <c r="H205" s="1" t="s">
        <v>1285</v>
      </c>
      <c r="I205" s="1" t="s">
        <v>1087</v>
      </c>
      <c r="J205">
        <v>1946</v>
      </c>
    </row>
    <row r="206" spans="1:10" x14ac:dyDescent="0.25">
      <c r="A206" s="5" t="s">
        <v>554</v>
      </c>
      <c r="B206" s="6" t="s">
        <v>555</v>
      </c>
      <c r="C206" s="6" t="s">
        <v>556</v>
      </c>
      <c r="D206" s="7" t="s">
        <v>7</v>
      </c>
      <c r="F206">
        <v>4715154852</v>
      </c>
      <c r="G206" s="1" t="s">
        <v>1003</v>
      </c>
      <c r="H206" s="1" t="s">
        <v>1286</v>
      </c>
      <c r="I206" s="1" t="s">
        <v>1081</v>
      </c>
      <c r="J206">
        <v>2880</v>
      </c>
    </row>
    <row r="207" spans="1:10" x14ac:dyDescent="0.25">
      <c r="A207" s="2" t="s">
        <v>557</v>
      </c>
      <c r="B207" s="3" t="s">
        <v>558</v>
      </c>
      <c r="C207" s="3" t="s">
        <v>559</v>
      </c>
      <c r="D207" s="4" t="s">
        <v>7</v>
      </c>
      <c r="F207">
        <v>5418968184</v>
      </c>
      <c r="G207" s="1" t="s">
        <v>777</v>
      </c>
      <c r="H207" s="1" t="s">
        <v>1287</v>
      </c>
      <c r="I207" s="1" t="s">
        <v>1081</v>
      </c>
      <c r="J207">
        <v>2630</v>
      </c>
    </row>
    <row r="208" spans="1:10" x14ac:dyDescent="0.25">
      <c r="A208" s="5" t="s">
        <v>560</v>
      </c>
      <c r="B208" s="6" t="s">
        <v>561</v>
      </c>
      <c r="C208" s="6" t="s">
        <v>561</v>
      </c>
      <c r="D208" s="7" t="s">
        <v>22</v>
      </c>
      <c r="F208">
        <v>1599095267</v>
      </c>
      <c r="G208" s="1" t="s">
        <v>777</v>
      </c>
      <c r="H208" s="1" t="s">
        <v>1288</v>
      </c>
      <c r="I208" s="1" t="s">
        <v>1087</v>
      </c>
      <c r="J208">
        <v>2112</v>
      </c>
    </row>
    <row r="209" spans="1:10" x14ac:dyDescent="0.25">
      <c r="A209" s="2" t="s">
        <v>562</v>
      </c>
      <c r="B209" s="3" t="s">
        <v>563</v>
      </c>
      <c r="C209" s="3" t="s">
        <v>561</v>
      </c>
      <c r="D209" s="4" t="s">
        <v>7</v>
      </c>
      <c r="F209">
        <v>1433397952</v>
      </c>
      <c r="G209" s="1" t="s">
        <v>314</v>
      </c>
      <c r="H209" s="1" t="s">
        <v>1289</v>
      </c>
      <c r="I209" s="1" t="s">
        <v>1081</v>
      </c>
      <c r="J209">
        <v>2928</v>
      </c>
    </row>
    <row r="210" spans="1:10" x14ac:dyDescent="0.25">
      <c r="A210" s="5" t="s">
        <v>564</v>
      </c>
      <c r="B210" s="6" t="s">
        <v>563</v>
      </c>
      <c r="C210" s="6" t="s">
        <v>565</v>
      </c>
      <c r="D210" s="7" t="s">
        <v>7</v>
      </c>
      <c r="F210">
        <v>2281651150</v>
      </c>
      <c r="G210" s="1" t="s">
        <v>552</v>
      </c>
      <c r="H210" s="1" t="s">
        <v>1290</v>
      </c>
      <c r="I210" s="1" t="s">
        <v>1087</v>
      </c>
      <c r="J210">
        <v>2295</v>
      </c>
    </row>
    <row r="211" spans="1:10" x14ac:dyDescent="0.25">
      <c r="A211" s="2" t="s">
        <v>566</v>
      </c>
      <c r="B211" s="3" t="s">
        <v>567</v>
      </c>
      <c r="C211" s="3" t="s">
        <v>568</v>
      </c>
      <c r="D211" s="4" t="s">
        <v>7</v>
      </c>
      <c r="F211">
        <v>5341884086</v>
      </c>
      <c r="G211" s="1" t="s">
        <v>777</v>
      </c>
      <c r="H211" s="1" t="s">
        <v>1291</v>
      </c>
      <c r="I211" s="1" t="s">
        <v>1081</v>
      </c>
      <c r="J211">
        <v>2556</v>
      </c>
    </row>
    <row r="212" spans="1:10" x14ac:dyDescent="0.25">
      <c r="A212" s="5" t="s">
        <v>569</v>
      </c>
      <c r="B212" s="6" t="s">
        <v>570</v>
      </c>
      <c r="C212" s="6" t="s">
        <v>571</v>
      </c>
      <c r="D212" s="7" t="s">
        <v>7</v>
      </c>
      <c r="F212">
        <v>3568004264</v>
      </c>
      <c r="G212" s="1" t="s">
        <v>428</v>
      </c>
      <c r="H212" s="1" t="s">
        <v>1292</v>
      </c>
      <c r="I212" s="1" t="s">
        <v>1081</v>
      </c>
      <c r="J212">
        <v>2568</v>
      </c>
    </row>
    <row r="213" spans="1:10" x14ac:dyDescent="0.25">
      <c r="A213" s="2" t="s">
        <v>572</v>
      </c>
      <c r="B213" s="3" t="s">
        <v>571</v>
      </c>
      <c r="C213" s="3" t="s">
        <v>571</v>
      </c>
      <c r="D213" s="4" t="s">
        <v>22</v>
      </c>
      <c r="F213">
        <v>5185759244</v>
      </c>
      <c r="G213" s="1" t="s">
        <v>777</v>
      </c>
      <c r="H213" s="1" t="s">
        <v>1293</v>
      </c>
      <c r="I213" s="1" t="s">
        <v>1081</v>
      </c>
      <c r="J213">
        <v>2674</v>
      </c>
    </row>
    <row r="214" spans="1:10" x14ac:dyDescent="0.25">
      <c r="A214" s="5" t="s">
        <v>573</v>
      </c>
      <c r="B214" s="6" t="s">
        <v>574</v>
      </c>
      <c r="C214" s="6" t="s">
        <v>575</v>
      </c>
      <c r="D214" s="7" t="s">
        <v>7</v>
      </c>
      <c r="F214">
        <v>4326751508</v>
      </c>
      <c r="G214" s="1" t="s">
        <v>40</v>
      </c>
      <c r="H214" s="1" t="s">
        <v>1294</v>
      </c>
      <c r="I214" s="1" t="s">
        <v>1081</v>
      </c>
      <c r="J214">
        <v>3120</v>
      </c>
    </row>
    <row r="215" spans="1:10" x14ac:dyDescent="0.25">
      <c r="A215" s="2" t="s">
        <v>576</v>
      </c>
      <c r="B215" s="3" t="s">
        <v>577</v>
      </c>
      <c r="C215" s="3" t="s">
        <v>578</v>
      </c>
      <c r="D215" s="4" t="s">
        <v>7</v>
      </c>
      <c r="F215">
        <v>1433397952</v>
      </c>
      <c r="G215" s="1" t="s">
        <v>314</v>
      </c>
      <c r="H215" s="1" t="s">
        <v>1295</v>
      </c>
      <c r="I215" s="1" t="s">
        <v>1087</v>
      </c>
      <c r="J215">
        <v>1896</v>
      </c>
    </row>
    <row r="216" spans="1:10" x14ac:dyDescent="0.25">
      <c r="A216" s="5" t="s">
        <v>579</v>
      </c>
      <c r="B216" s="6" t="s">
        <v>577</v>
      </c>
      <c r="C216" s="6" t="s">
        <v>580</v>
      </c>
      <c r="D216" s="7" t="s">
        <v>7</v>
      </c>
      <c r="F216">
        <v>4779174699</v>
      </c>
      <c r="G216" s="1" t="s">
        <v>1003</v>
      </c>
      <c r="H216" s="1" t="s">
        <v>1296</v>
      </c>
      <c r="I216" s="1" t="s">
        <v>1087</v>
      </c>
      <c r="J216">
        <v>2608</v>
      </c>
    </row>
    <row r="217" spans="1:10" x14ac:dyDescent="0.25">
      <c r="A217" s="2" t="s">
        <v>581</v>
      </c>
      <c r="B217" s="3" t="s">
        <v>582</v>
      </c>
      <c r="C217" s="3" t="s">
        <v>583</v>
      </c>
      <c r="D217" s="4" t="s">
        <v>7</v>
      </c>
      <c r="F217">
        <v>3678947206</v>
      </c>
      <c r="G217" s="1" t="s">
        <v>527</v>
      </c>
      <c r="H217" s="1" t="s">
        <v>1297</v>
      </c>
      <c r="I217" s="1" t="s">
        <v>1087</v>
      </c>
      <c r="J217">
        <v>2154</v>
      </c>
    </row>
    <row r="218" spans="1:10" x14ac:dyDescent="0.25">
      <c r="A218" s="5" t="s">
        <v>584</v>
      </c>
      <c r="B218" s="6" t="s">
        <v>585</v>
      </c>
      <c r="C218" s="6" t="s">
        <v>586</v>
      </c>
      <c r="D218" s="7" t="s">
        <v>7</v>
      </c>
      <c r="F218">
        <v>1939065269</v>
      </c>
      <c r="G218" s="1" t="s">
        <v>636</v>
      </c>
      <c r="H218" s="1" t="s">
        <v>1298</v>
      </c>
      <c r="I218" s="1" t="s">
        <v>1081</v>
      </c>
      <c r="J218">
        <v>2328</v>
      </c>
    </row>
    <row r="219" spans="1:10" x14ac:dyDescent="0.25">
      <c r="A219" s="2" t="s">
        <v>587</v>
      </c>
      <c r="B219" s="3" t="s">
        <v>588</v>
      </c>
      <c r="C219" s="3" t="s">
        <v>589</v>
      </c>
      <c r="D219" s="4" t="s">
        <v>7</v>
      </c>
      <c r="F219">
        <v>5514533376</v>
      </c>
      <c r="G219" s="1" t="s">
        <v>255</v>
      </c>
      <c r="H219" s="1" t="s">
        <v>1299</v>
      </c>
      <c r="I219" s="1" t="s">
        <v>1081</v>
      </c>
      <c r="J219">
        <v>2548</v>
      </c>
    </row>
    <row r="220" spans="1:10" x14ac:dyDescent="0.25">
      <c r="A220" s="5" t="s">
        <v>590</v>
      </c>
      <c r="B220" s="6" t="s">
        <v>591</v>
      </c>
      <c r="C220" s="6" t="s">
        <v>592</v>
      </c>
      <c r="D220" s="7" t="s">
        <v>7</v>
      </c>
      <c r="F220">
        <v>5115061689</v>
      </c>
      <c r="G220" s="1" t="s">
        <v>704</v>
      </c>
      <c r="H220" s="1" t="s">
        <v>1300</v>
      </c>
      <c r="I220" s="1" t="s">
        <v>1087</v>
      </c>
      <c r="J220">
        <v>1902</v>
      </c>
    </row>
    <row r="221" spans="1:10" x14ac:dyDescent="0.25">
      <c r="A221" s="2" t="s">
        <v>593</v>
      </c>
      <c r="B221" s="3" t="s">
        <v>594</v>
      </c>
      <c r="C221" s="3" t="s">
        <v>595</v>
      </c>
      <c r="D221" s="4" t="s">
        <v>7</v>
      </c>
      <c r="F221">
        <v>4326751508</v>
      </c>
      <c r="G221" s="1" t="s">
        <v>255</v>
      </c>
      <c r="H221" s="1" t="s">
        <v>1301</v>
      </c>
      <c r="I221" s="1" t="s">
        <v>1081</v>
      </c>
      <c r="J221">
        <v>2456</v>
      </c>
    </row>
    <row r="222" spans="1:10" x14ac:dyDescent="0.25">
      <c r="A222" s="5" t="s">
        <v>596</v>
      </c>
      <c r="B222" s="6" t="s">
        <v>597</v>
      </c>
      <c r="C222" s="6" t="s">
        <v>598</v>
      </c>
      <c r="D222" s="7" t="s">
        <v>7</v>
      </c>
      <c r="F222">
        <v>1278408463</v>
      </c>
      <c r="G222" s="1" t="s">
        <v>312</v>
      </c>
      <c r="H222" s="1" t="s">
        <v>1302</v>
      </c>
      <c r="I222" s="1" t="s">
        <v>1087</v>
      </c>
      <c r="J222">
        <v>2544</v>
      </c>
    </row>
    <row r="223" spans="1:10" x14ac:dyDescent="0.25">
      <c r="A223" s="2" t="s">
        <v>599</v>
      </c>
      <c r="B223" s="3" t="s">
        <v>600</v>
      </c>
      <c r="C223" s="3" t="s">
        <v>601</v>
      </c>
      <c r="D223" s="4" t="s">
        <v>7</v>
      </c>
      <c r="F223">
        <v>5528435390</v>
      </c>
      <c r="G223" s="1" t="s">
        <v>777</v>
      </c>
      <c r="H223" s="1" t="s">
        <v>1303</v>
      </c>
      <c r="I223" s="1" t="s">
        <v>1081</v>
      </c>
      <c r="J223">
        <v>3495</v>
      </c>
    </row>
    <row r="224" spans="1:10" x14ac:dyDescent="0.25">
      <c r="A224" s="5" t="s">
        <v>602</v>
      </c>
      <c r="B224" s="6" t="s">
        <v>603</v>
      </c>
      <c r="C224" s="6" t="s">
        <v>603</v>
      </c>
      <c r="D224" s="7" t="s">
        <v>22</v>
      </c>
      <c r="F224">
        <v>2138598159</v>
      </c>
      <c r="G224" s="1" t="s">
        <v>143</v>
      </c>
      <c r="H224" s="1" t="s">
        <v>1304</v>
      </c>
      <c r="I224" s="1" t="s">
        <v>1081</v>
      </c>
      <c r="J224">
        <v>2550</v>
      </c>
    </row>
    <row r="225" spans="1:10" x14ac:dyDescent="0.25">
      <c r="A225" s="2" t="s">
        <v>604</v>
      </c>
      <c r="B225" s="3" t="s">
        <v>605</v>
      </c>
      <c r="C225" s="3" t="s">
        <v>606</v>
      </c>
      <c r="D225" s="4" t="s">
        <v>7</v>
      </c>
      <c r="F225">
        <v>1599095267</v>
      </c>
      <c r="G225" s="1" t="s">
        <v>777</v>
      </c>
      <c r="H225" s="1" t="s">
        <v>1305</v>
      </c>
      <c r="I225" s="1" t="s">
        <v>1087</v>
      </c>
      <c r="J225">
        <v>2448</v>
      </c>
    </row>
    <row r="226" spans="1:10" x14ac:dyDescent="0.25">
      <c r="A226" s="5" t="s">
        <v>607</v>
      </c>
      <c r="B226" s="6" t="s">
        <v>608</v>
      </c>
      <c r="C226" s="6" t="s">
        <v>609</v>
      </c>
      <c r="D226" s="7" t="s">
        <v>7</v>
      </c>
      <c r="F226">
        <v>5341884086</v>
      </c>
      <c r="G226" s="1" t="s">
        <v>777</v>
      </c>
      <c r="H226" s="1" t="s">
        <v>1306</v>
      </c>
      <c r="I226" s="1" t="s">
        <v>1081</v>
      </c>
      <c r="J226">
        <v>3645</v>
      </c>
    </row>
    <row r="227" spans="1:10" x14ac:dyDescent="0.25">
      <c r="A227" s="2" t="s">
        <v>610</v>
      </c>
      <c r="B227" s="3" t="s">
        <v>611</v>
      </c>
      <c r="C227" s="3" t="s">
        <v>611</v>
      </c>
      <c r="D227" s="4" t="s">
        <v>22</v>
      </c>
      <c r="F227">
        <v>1433397952</v>
      </c>
      <c r="G227" s="1" t="s">
        <v>314</v>
      </c>
      <c r="H227" s="1" t="s">
        <v>1307</v>
      </c>
      <c r="I227" s="1" t="s">
        <v>1087</v>
      </c>
      <c r="J227">
        <v>2935</v>
      </c>
    </row>
    <row r="228" spans="1:10" x14ac:dyDescent="0.25">
      <c r="A228" s="5" t="s">
        <v>612</v>
      </c>
      <c r="B228" s="6" t="s">
        <v>613</v>
      </c>
      <c r="C228" s="6" t="s">
        <v>611</v>
      </c>
      <c r="D228" s="7" t="s">
        <v>7</v>
      </c>
      <c r="F228">
        <v>2138598159</v>
      </c>
      <c r="G228" s="1" t="s">
        <v>143</v>
      </c>
      <c r="H228" s="1" t="s">
        <v>1308</v>
      </c>
      <c r="I228" s="1" t="s">
        <v>1087</v>
      </c>
      <c r="J228">
        <v>2834</v>
      </c>
    </row>
    <row r="229" spans="1:10" x14ac:dyDescent="0.25">
      <c r="A229" s="2" t="s">
        <v>614</v>
      </c>
      <c r="B229" s="3" t="s">
        <v>615</v>
      </c>
      <c r="C229" s="3" t="s">
        <v>616</v>
      </c>
      <c r="D229" s="4" t="s">
        <v>7</v>
      </c>
      <c r="F229">
        <v>2625657803</v>
      </c>
      <c r="G229" s="1" t="s">
        <v>777</v>
      </c>
      <c r="H229" s="1" t="s">
        <v>1309</v>
      </c>
      <c r="I229" s="1" t="s">
        <v>1087</v>
      </c>
      <c r="J229">
        <v>1624</v>
      </c>
    </row>
    <row r="230" spans="1:10" x14ac:dyDescent="0.25">
      <c r="A230" s="5" t="s">
        <v>617</v>
      </c>
      <c r="B230" s="6" t="s">
        <v>618</v>
      </c>
      <c r="C230" s="6" t="s">
        <v>619</v>
      </c>
      <c r="D230" s="7" t="s">
        <v>7</v>
      </c>
      <c r="F230">
        <v>1939065269</v>
      </c>
      <c r="G230" s="1" t="s">
        <v>636</v>
      </c>
      <c r="H230" s="1" t="s">
        <v>1310</v>
      </c>
      <c r="I230" s="1" t="s">
        <v>1081</v>
      </c>
      <c r="J230">
        <v>2574</v>
      </c>
    </row>
    <row r="231" spans="1:10" x14ac:dyDescent="0.25">
      <c r="A231" s="2" t="s">
        <v>620</v>
      </c>
      <c r="B231" s="3" t="s">
        <v>621</v>
      </c>
      <c r="C231" s="3" t="s">
        <v>621</v>
      </c>
      <c r="D231" s="4" t="s">
        <v>22</v>
      </c>
      <c r="F231">
        <v>4326751508</v>
      </c>
      <c r="G231" s="1" t="s">
        <v>255</v>
      </c>
      <c r="H231" s="1" t="s">
        <v>1311</v>
      </c>
      <c r="I231" s="1" t="s">
        <v>1087</v>
      </c>
      <c r="J231">
        <v>1806</v>
      </c>
    </row>
    <row r="232" spans="1:10" x14ac:dyDescent="0.25">
      <c r="A232" s="5" t="s">
        <v>622</v>
      </c>
      <c r="B232" s="6" t="s">
        <v>623</v>
      </c>
      <c r="C232" s="6" t="s">
        <v>621</v>
      </c>
      <c r="D232" s="7" t="s">
        <v>7</v>
      </c>
      <c r="F232">
        <v>2138598159</v>
      </c>
      <c r="G232" s="1" t="s">
        <v>143</v>
      </c>
      <c r="H232" s="1" t="s">
        <v>1312</v>
      </c>
      <c r="I232" s="1" t="s">
        <v>1087</v>
      </c>
      <c r="J232">
        <v>3204</v>
      </c>
    </row>
    <row r="233" spans="1:10" x14ac:dyDescent="0.25">
      <c r="A233" s="2" t="s">
        <v>624</v>
      </c>
      <c r="B233" s="3" t="s">
        <v>625</v>
      </c>
      <c r="C233" s="3" t="s">
        <v>626</v>
      </c>
      <c r="D233" s="4" t="s">
        <v>7</v>
      </c>
      <c r="F233">
        <v>4779174699</v>
      </c>
      <c r="G233" s="1" t="s">
        <v>1003</v>
      </c>
      <c r="H233" s="1" t="s">
        <v>1313</v>
      </c>
      <c r="I233" s="1" t="s">
        <v>1087</v>
      </c>
      <c r="J233">
        <v>1618</v>
      </c>
    </row>
    <row r="234" spans="1:10" x14ac:dyDescent="0.25">
      <c r="A234" s="5" t="s">
        <v>627</v>
      </c>
      <c r="B234" s="6" t="s">
        <v>628</v>
      </c>
      <c r="C234" s="6" t="s">
        <v>629</v>
      </c>
      <c r="D234" s="7" t="s">
        <v>7</v>
      </c>
      <c r="F234">
        <v>3568004264</v>
      </c>
      <c r="G234" s="1" t="s">
        <v>428</v>
      </c>
      <c r="H234" s="1" t="s">
        <v>1314</v>
      </c>
      <c r="I234" s="1" t="s">
        <v>1087</v>
      </c>
      <c r="J234">
        <v>2720</v>
      </c>
    </row>
    <row r="235" spans="1:10" x14ac:dyDescent="0.25">
      <c r="A235" s="2" t="s">
        <v>630</v>
      </c>
      <c r="B235" s="3" t="s">
        <v>631</v>
      </c>
      <c r="C235" s="3" t="s">
        <v>632</v>
      </c>
      <c r="D235" s="4" t="s">
        <v>7</v>
      </c>
      <c r="F235">
        <v>5115061689</v>
      </c>
      <c r="G235" s="1" t="s">
        <v>704</v>
      </c>
      <c r="H235" s="1" t="s">
        <v>1315</v>
      </c>
      <c r="I235" s="1" t="s">
        <v>1087</v>
      </c>
      <c r="J235">
        <v>3192</v>
      </c>
    </row>
    <row r="236" spans="1:10" x14ac:dyDescent="0.25">
      <c r="A236" s="5" t="s">
        <v>633</v>
      </c>
      <c r="B236" s="6" t="s">
        <v>634</v>
      </c>
      <c r="C236" s="6" t="s">
        <v>635</v>
      </c>
      <c r="D236" s="7" t="s">
        <v>7</v>
      </c>
      <c r="F236">
        <v>1361555378</v>
      </c>
      <c r="G236" s="1" t="s">
        <v>1022</v>
      </c>
      <c r="H236" s="1" t="s">
        <v>1316</v>
      </c>
      <c r="I236" s="1" t="s">
        <v>1087</v>
      </c>
      <c r="J236">
        <v>2559</v>
      </c>
    </row>
    <row r="237" spans="1:10" x14ac:dyDescent="0.25">
      <c r="A237" s="2" t="s">
        <v>636</v>
      </c>
      <c r="B237" s="3" t="s">
        <v>637</v>
      </c>
      <c r="C237" s="3" t="s">
        <v>637</v>
      </c>
      <c r="D237" s="4" t="s">
        <v>22</v>
      </c>
      <c r="F237">
        <v>3866883575</v>
      </c>
      <c r="G237" s="1" t="s">
        <v>434</v>
      </c>
      <c r="H237" s="1" t="s">
        <v>1317</v>
      </c>
      <c r="I237" s="1" t="s">
        <v>1081</v>
      </c>
      <c r="J237">
        <v>2145</v>
      </c>
    </row>
    <row r="238" spans="1:10" x14ac:dyDescent="0.25">
      <c r="A238" s="5" t="s">
        <v>638</v>
      </c>
      <c r="B238" s="6" t="s">
        <v>639</v>
      </c>
      <c r="C238" s="6" t="s">
        <v>637</v>
      </c>
      <c r="D238" s="7" t="s">
        <v>7</v>
      </c>
      <c r="F238">
        <v>4761158900</v>
      </c>
      <c r="G238" s="1" t="s">
        <v>294</v>
      </c>
      <c r="H238" s="1" t="s">
        <v>1318</v>
      </c>
      <c r="I238" s="1" t="s">
        <v>1081</v>
      </c>
      <c r="J238">
        <v>2674</v>
      </c>
    </row>
    <row r="239" spans="1:10" x14ac:dyDescent="0.25">
      <c r="A239" s="2" t="s">
        <v>640</v>
      </c>
      <c r="B239" s="3" t="s">
        <v>641</v>
      </c>
      <c r="C239" s="3" t="s">
        <v>642</v>
      </c>
      <c r="D239" s="4" t="s">
        <v>7</v>
      </c>
      <c r="F239">
        <v>4779174699</v>
      </c>
      <c r="G239" s="1" t="s">
        <v>1003</v>
      </c>
      <c r="H239" s="1" t="s">
        <v>1319</v>
      </c>
      <c r="I239" s="1" t="s">
        <v>1081</v>
      </c>
      <c r="J239">
        <v>2192</v>
      </c>
    </row>
    <row r="240" spans="1:10" x14ac:dyDescent="0.25">
      <c r="A240" s="5" t="s">
        <v>643</v>
      </c>
      <c r="B240" s="6" t="s">
        <v>644</v>
      </c>
      <c r="C240" s="6" t="s">
        <v>645</v>
      </c>
      <c r="D240" s="7" t="s">
        <v>7</v>
      </c>
      <c r="F240">
        <v>6727559092</v>
      </c>
      <c r="G240" s="1" t="s">
        <v>562</v>
      </c>
      <c r="H240" s="1" t="s">
        <v>1320</v>
      </c>
      <c r="I240" s="1" t="s">
        <v>1081</v>
      </c>
      <c r="J240">
        <v>2480</v>
      </c>
    </row>
    <row r="241" spans="1:10" x14ac:dyDescent="0.25">
      <c r="A241" s="2" t="s">
        <v>646</v>
      </c>
      <c r="B241" s="3" t="s">
        <v>647</v>
      </c>
      <c r="C241" s="3" t="s">
        <v>648</v>
      </c>
      <c r="D241" s="4" t="s">
        <v>7</v>
      </c>
      <c r="F241">
        <v>4761158900</v>
      </c>
      <c r="G241" s="1" t="s">
        <v>29</v>
      </c>
      <c r="H241" s="1" t="s">
        <v>1321</v>
      </c>
      <c r="I241" s="1" t="s">
        <v>1087</v>
      </c>
      <c r="J241">
        <v>2578</v>
      </c>
    </row>
    <row r="242" spans="1:10" x14ac:dyDescent="0.25">
      <c r="A242" s="5" t="s">
        <v>649</v>
      </c>
      <c r="B242" s="6" t="s">
        <v>650</v>
      </c>
      <c r="C242" s="6" t="s">
        <v>651</v>
      </c>
      <c r="D242" s="7" t="s">
        <v>7</v>
      </c>
      <c r="F242">
        <v>4761158900</v>
      </c>
      <c r="G242" s="1" t="s">
        <v>29</v>
      </c>
      <c r="H242" s="1" t="s">
        <v>1322</v>
      </c>
      <c r="I242" s="1" t="s">
        <v>1087</v>
      </c>
      <c r="J242">
        <v>1774</v>
      </c>
    </row>
    <row r="243" spans="1:10" x14ac:dyDescent="0.25">
      <c r="A243" s="2" t="s">
        <v>652</v>
      </c>
      <c r="B243" s="3" t="s">
        <v>653</v>
      </c>
      <c r="C243" s="3" t="s">
        <v>654</v>
      </c>
      <c r="D243" s="4" t="s">
        <v>7</v>
      </c>
      <c r="F243">
        <v>2394072755</v>
      </c>
      <c r="G243" s="1" t="s">
        <v>1022</v>
      </c>
      <c r="H243" s="1" t="s">
        <v>1323</v>
      </c>
      <c r="I243" s="1" t="s">
        <v>1087</v>
      </c>
      <c r="J243">
        <v>750</v>
      </c>
    </row>
    <row r="244" spans="1:10" x14ac:dyDescent="0.25">
      <c r="A244" s="5" t="s">
        <v>655</v>
      </c>
      <c r="B244" s="6" t="s">
        <v>654</v>
      </c>
      <c r="C244" s="6" t="s">
        <v>654</v>
      </c>
      <c r="D244" s="7" t="s">
        <v>22</v>
      </c>
      <c r="F244">
        <v>1939065269</v>
      </c>
      <c r="G244" s="1" t="s">
        <v>636</v>
      </c>
      <c r="H244" s="1" t="s">
        <v>1324</v>
      </c>
      <c r="I244" s="1" t="s">
        <v>1081</v>
      </c>
      <c r="J244">
        <v>2562</v>
      </c>
    </row>
    <row r="245" spans="1:10" x14ac:dyDescent="0.25">
      <c r="A245" s="2" t="s">
        <v>656</v>
      </c>
      <c r="B245" s="3" t="s">
        <v>657</v>
      </c>
      <c r="C245" s="3" t="s">
        <v>658</v>
      </c>
      <c r="D245" s="4" t="s">
        <v>7</v>
      </c>
      <c r="F245">
        <v>3114182744</v>
      </c>
      <c r="G245" s="1" t="s">
        <v>1022</v>
      </c>
      <c r="H245" s="1" t="s">
        <v>1325</v>
      </c>
      <c r="I245" s="1" t="s">
        <v>1081</v>
      </c>
      <c r="J245">
        <v>1959</v>
      </c>
    </row>
    <row r="246" spans="1:10" x14ac:dyDescent="0.25">
      <c r="A246" s="5" t="s">
        <v>659</v>
      </c>
      <c r="B246" s="6" t="s">
        <v>660</v>
      </c>
      <c r="C246" s="6" t="s">
        <v>661</v>
      </c>
      <c r="D246" s="7" t="s">
        <v>7</v>
      </c>
      <c r="F246">
        <v>4326751508</v>
      </c>
      <c r="G246" s="1" t="s">
        <v>405</v>
      </c>
      <c r="H246" s="1" t="s">
        <v>1326</v>
      </c>
      <c r="I246" s="1" t="s">
        <v>1081</v>
      </c>
      <c r="J246">
        <v>2624</v>
      </c>
    </row>
    <row r="247" spans="1:10" x14ac:dyDescent="0.25">
      <c r="A247" s="2" t="s">
        <v>662</v>
      </c>
      <c r="B247" s="3" t="s">
        <v>663</v>
      </c>
      <c r="C247" s="3" t="s">
        <v>664</v>
      </c>
      <c r="D247" s="4" t="s">
        <v>7</v>
      </c>
      <c r="F247">
        <v>4326751508</v>
      </c>
      <c r="G247" s="1" t="s">
        <v>255</v>
      </c>
      <c r="H247" s="1" t="s">
        <v>1327</v>
      </c>
      <c r="I247" s="1" t="s">
        <v>1087</v>
      </c>
      <c r="J247">
        <v>2760</v>
      </c>
    </row>
    <row r="248" spans="1:10" x14ac:dyDescent="0.25">
      <c r="A248" s="5" t="s">
        <v>665</v>
      </c>
      <c r="B248" s="6" t="s">
        <v>666</v>
      </c>
      <c r="C248" s="6" t="s">
        <v>667</v>
      </c>
      <c r="D248" s="7" t="s">
        <v>7</v>
      </c>
      <c r="F248">
        <v>3568004264</v>
      </c>
      <c r="G248" s="1" t="s">
        <v>428</v>
      </c>
      <c r="H248" s="1" t="s">
        <v>1328</v>
      </c>
      <c r="I248" s="1" t="s">
        <v>1081</v>
      </c>
      <c r="J248">
        <v>2404</v>
      </c>
    </row>
    <row r="249" spans="1:10" x14ac:dyDescent="0.25">
      <c r="A249" s="2" t="s">
        <v>668</v>
      </c>
      <c r="B249" s="3" t="s">
        <v>669</v>
      </c>
      <c r="C249" s="3" t="s">
        <v>670</v>
      </c>
      <c r="D249" s="4" t="s">
        <v>7</v>
      </c>
      <c r="F249">
        <v>1278408463</v>
      </c>
      <c r="G249" s="1" t="s">
        <v>314</v>
      </c>
      <c r="H249" s="1" t="s">
        <v>1329</v>
      </c>
      <c r="I249" s="1" t="s">
        <v>1081</v>
      </c>
      <c r="J249">
        <v>2328</v>
      </c>
    </row>
    <row r="250" spans="1:10" x14ac:dyDescent="0.25">
      <c r="A250" s="5" t="s">
        <v>671</v>
      </c>
      <c r="B250" s="6" t="s">
        <v>672</v>
      </c>
      <c r="C250" s="6" t="s">
        <v>673</v>
      </c>
      <c r="D250" s="7" t="s">
        <v>7</v>
      </c>
      <c r="F250">
        <v>5185759244</v>
      </c>
      <c r="G250" s="1" t="s">
        <v>1022</v>
      </c>
      <c r="H250" s="1" t="s">
        <v>1330</v>
      </c>
      <c r="I250" s="1" t="s">
        <v>1087</v>
      </c>
      <c r="J250">
        <v>2610</v>
      </c>
    </row>
    <row r="251" spans="1:10" x14ac:dyDescent="0.25">
      <c r="A251" s="2" t="s">
        <v>674</v>
      </c>
      <c r="B251" s="3" t="s">
        <v>675</v>
      </c>
      <c r="C251" s="3" t="s">
        <v>676</v>
      </c>
      <c r="D251" s="4" t="s">
        <v>7</v>
      </c>
      <c r="F251">
        <v>4761158900</v>
      </c>
      <c r="G251" s="1" t="s">
        <v>29</v>
      </c>
      <c r="H251" s="1" t="s">
        <v>1331</v>
      </c>
      <c r="I251" s="1" t="s">
        <v>1081</v>
      </c>
      <c r="J251">
        <v>2010</v>
      </c>
    </row>
    <row r="252" spans="1:10" x14ac:dyDescent="0.25">
      <c r="A252" s="5" t="s">
        <v>677</v>
      </c>
      <c r="B252" s="6" t="s">
        <v>678</v>
      </c>
      <c r="C252" s="6" t="s">
        <v>679</v>
      </c>
      <c r="D252" s="7" t="s">
        <v>7</v>
      </c>
      <c r="F252">
        <v>4326751508</v>
      </c>
      <c r="G252" s="1" t="s">
        <v>386</v>
      </c>
      <c r="H252" s="1" t="s">
        <v>1332</v>
      </c>
      <c r="I252" s="1" t="s">
        <v>1081</v>
      </c>
      <c r="J252">
        <v>2196</v>
      </c>
    </row>
    <row r="253" spans="1:10" x14ac:dyDescent="0.25">
      <c r="A253" s="2" t="s">
        <v>680</v>
      </c>
      <c r="B253" s="3" t="s">
        <v>681</v>
      </c>
      <c r="C253" s="3" t="s">
        <v>681</v>
      </c>
      <c r="D253" s="4" t="s">
        <v>22</v>
      </c>
      <c r="F253">
        <v>6758177505</v>
      </c>
      <c r="G253" s="1" t="s">
        <v>562</v>
      </c>
      <c r="H253" s="1" t="s">
        <v>1333</v>
      </c>
      <c r="I253" s="1" t="s">
        <v>1087</v>
      </c>
      <c r="J253">
        <v>2095</v>
      </c>
    </row>
    <row r="254" spans="1:10" x14ac:dyDescent="0.25">
      <c r="A254" s="5" t="s">
        <v>682</v>
      </c>
      <c r="B254" s="6" t="s">
        <v>683</v>
      </c>
      <c r="C254" s="6" t="s">
        <v>681</v>
      </c>
      <c r="D254" s="7" t="s">
        <v>7</v>
      </c>
      <c r="F254">
        <v>1617995032</v>
      </c>
      <c r="G254" s="1" t="s">
        <v>892</v>
      </c>
      <c r="H254" s="1" t="s">
        <v>1334</v>
      </c>
      <c r="I254" s="1" t="s">
        <v>1081</v>
      </c>
      <c r="J254">
        <v>1899</v>
      </c>
    </row>
    <row r="255" spans="1:10" x14ac:dyDescent="0.25">
      <c r="A255" s="2" t="s">
        <v>684</v>
      </c>
      <c r="B255" s="3" t="s">
        <v>685</v>
      </c>
      <c r="C255" s="3" t="s">
        <v>686</v>
      </c>
      <c r="D255" s="4" t="s">
        <v>7</v>
      </c>
      <c r="F255">
        <v>1433397952</v>
      </c>
      <c r="G255" s="1" t="s">
        <v>314</v>
      </c>
      <c r="H255" s="1" t="s">
        <v>1335</v>
      </c>
      <c r="I255" s="1" t="s">
        <v>1087</v>
      </c>
      <c r="J255">
        <v>2180</v>
      </c>
    </row>
    <row r="256" spans="1:10" x14ac:dyDescent="0.25">
      <c r="A256" s="5" t="s">
        <v>687</v>
      </c>
      <c r="B256" s="6" t="s">
        <v>688</v>
      </c>
      <c r="C256" s="6" t="s">
        <v>689</v>
      </c>
      <c r="D256" s="7" t="s">
        <v>7</v>
      </c>
      <c r="F256">
        <v>5115061689</v>
      </c>
      <c r="G256" s="1" t="s">
        <v>704</v>
      </c>
      <c r="H256" s="1" t="s">
        <v>1336</v>
      </c>
      <c r="I256" s="1" t="s">
        <v>1087</v>
      </c>
      <c r="J256">
        <v>1864</v>
      </c>
    </row>
    <row r="257" spans="1:10" x14ac:dyDescent="0.25">
      <c r="A257" s="2" t="s">
        <v>690</v>
      </c>
      <c r="B257" s="3" t="s">
        <v>691</v>
      </c>
      <c r="C257" s="3" t="s">
        <v>692</v>
      </c>
      <c r="D257" s="4" t="s">
        <v>7</v>
      </c>
      <c r="F257">
        <v>4761158900</v>
      </c>
      <c r="G257" s="1" t="s">
        <v>29</v>
      </c>
      <c r="H257" s="1" t="s">
        <v>1337</v>
      </c>
      <c r="I257" s="1" t="s">
        <v>1087</v>
      </c>
      <c r="J257">
        <v>2172</v>
      </c>
    </row>
    <row r="258" spans="1:10" x14ac:dyDescent="0.25">
      <c r="A258" s="5" t="s">
        <v>693</v>
      </c>
      <c r="B258" s="6" t="s">
        <v>694</v>
      </c>
      <c r="C258" s="6" t="s">
        <v>695</v>
      </c>
      <c r="D258" s="7" t="s">
        <v>7</v>
      </c>
      <c r="F258">
        <v>4761158900</v>
      </c>
      <c r="G258" s="1" t="s">
        <v>29</v>
      </c>
      <c r="H258" s="1" t="s">
        <v>1338</v>
      </c>
      <c r="I258" s="1" t="s">
        <v>1081</v>
      </c>
      <c r="J258">
        <v>1950</v>
      </c>
    </row>
    <row r="259" spans="1:10" x14ac:dyDescent="0.25">
      <c r="A259" s="2" t="s">
        <v>696</v>
      </c>
      <c r="B259" s="3" t="s">
        <v>697</v>
      </c>
      <c r="C259" s="3" t="s">
        <v>698</v>
      </c>
      <c r="D259" s="4" t="s">
        <v>7</v>
      </c>
      <c r="F259">
        <v>2119268767</v>
      </c>
      <c r="G259" s="1" t="s">
        <v>141</v>
      </c>
      <c r="H259" s="1" t="s">
        <v>1339</v>
      </c>
      <c r="I259" s="1" t="s">
        <v>1087</v>
      </c>
      <c r="J259">
        <v>2115</v>
      </c>
    </row>
    <row r="260" spans="1:10" x14ac:dyDescent="0.25">
      <c r="A260" s="5" t="s">
        <v>699</v>
      </c>
      <c r="B260" s="6" t="s">
        <v>700</v>
      </c>
      <c r="C260" s="6" t="s">
        <v>701</v>
      </c>
      <c r="D260" s="7" t="s">
        <v>7</v>
      </c>
      <c r="F260">
        <v>3866883575</v>
      </c>
      <c r="G260" s="1" t="s">
        <v>434</v>
      </c>
      <c r="H260" s="1" t="s">
        <v>1340</v>
      </c>
      <c r="I260" s="1" t="s">
        <v>1087</v>
      </c>
      <c r="J260">
        <v>2457</v>
      </c>
    </row>
    <row r="261" spans="1:10" x14ac:dyDescent="0.25">
      <c r="A261" s="2" t="s">
        <v>702</v>
      </c>
      <c r="B261" s="3" t="s">
        <v>703</v>
      </c>
      <c r="C261" s="3" t="s">
        <v>703</v>
      </c>
      <c r="D261" s="4" t="s">
        <v>22</v>
      </c>
      <c r="F261">
        <v>2394072755</v>
      </c>
      <c r="G261" s="1" t="s">
        <v>1022</v>
      </c>
      <c r="H261" s="1" t="s">
        <v>1341</v>
      </c>
      <c r="I261" s="1" t="s">
        <v>1087</v>
      </c>
      <c r="J261">
        <v>2792</v>
      </c>
    </row>
    <row r="262" spans="1:10" x14ac:dyDescent="0.25">
      <c r="A262" s="5" t="s">
        <v>704</v>
      </c>
      <c r="B262" s="6" t="s">
        <v>703</v>
      </c>
      <c r="C262" s="6" t="s">
        <v>703</v>
      </c>
      <c r="D262" s="7" t="s">
        <v>22</v>
      </c>
      <c r="F262">
        <v>6758177505</v>
      </c>
      <c r="G262" s="1" t="s">
        <v>562</v>
      </c>
      <c r="H262" s="1" t="s">
        <v>1342</v>
      </c>
      <c r="I262" s="1" t="s">
        <v>1087</v>
      </c>
      <c r="J262">
        <v>2915</v>
      </c>
    </row>
    <row r="263" spans="1:10" x14ac:dyDescent="0.25">
      <c r="A263" s="2" t="s">
        <v>705</v>
      </c>
      <c r="B263" s="3" t="s">
        <v>706</v>
      </c>
      <c r="C263" s="3" t="s">
        <v>707</v>
      </c>
      <c r="D263" s="4" t="s">
        <v>7</v>
      </c>
      <c r="F263">
        <v>4326751508</v>
      </c>
      <c r="G263" s="1" t="s">
        <v>386</v>
      </c>
      <c r="H263" s="1" t="s">
        <v>1343</v>
      </c>
      <c r="I263" s="1" t="s">
        <v>1081</v>
      </c>
      <c r="J263">
        <v>1515</v>
      </c>
    </row>
    <row r="264" spans="1:10" x14ac:dyDescent="0.25">
      <c r="A264" s="5" t="s">
        <v>708</v>
      </c>
      <c r="B264" s="6" t="s">
        <v>707</v>
      </c>
      <c r="C264" s="6" t="s">
        <v>707</v>
      </c>
      <c r="D264" s="7" t="s">
        <v>22</v>
      </c>
      <c r="F264">
        <v>2394072755</v>
      </c>
      <c r="G264" s="1" t="s">
        <v>1022</v>
      </c>
      <c r="H264" s="1" t="s">
        <v>1344</v>
      </c>
      <c r="I264" s="1" t="s">
        <v>1087</v>
      </c>
      <c r="J264">
        <v>2330</v>
      </c>
    </row>
    <row r="265" spans="1:10" x14ac:dyDescent="0.25">
      <c r="A265" s="2" t="s">
        <v>709</v>
      </c>
      <c r="B265" s="3" t="s">
        <v>710</v>
      </c>
      <c r="C265" s="3" t="s">
        <v>711</v>
      </c>
      <c r="D265" s="4" t="s">
        <v>7</v>
      </c>
      <c r="F265">
        <v>4326751508</v>
      </c>
      <c r="G265" s="1" t="s">
        <v>386</v>
      </c>
      <c r="H265" s="1" t="s">
        <v>1345</v>
      </c>
      <c r="I265" s="1" t="s">
        <v>1081</v>
      </c>
      <c r="J265">
        <v>2245</v>
      </c>
    </row>
    <row r="266" spans="1:10" x14ac:dyDescent="0.25">
      <c r="A266" s="5" t="s">
        <v>712</v>
      </c>
      <c r="B266" s="6" t="s">
        <v>713</v>
      </c>
      <c r="C266" s="6" t="s">
        <v>714</v>
      </c>
      <c r="D266" s="7" t="s">
        <v>7</v>
      </c>
      <c r="F266">
        <v>5341884086</v>
      </c>
      <c r="G266" s="1" t="s">
        <v>1022</v>
      </c>
      <c r="H266" s="1" t="s">
        <v>1346</v>
      </c>
      <c r="I266" s="1" t="s">
        <v>1081</v>
      </c>
      <c r="J266">
        <v>2880</v>
      </c>
    </row>
    <row r="267" spans="1:10" x14ac:dyDescent="0.25">
      <c r="A267" s="2" t="s">
        <v>715</v>
      </c>
      <c r="B267" s="3" t="s">
        <v>716</v>
      </c>
      <c r="C267" s="3" t="s">
        <v>716</v>
      </c>
      <c r="D267" s="4" t="s">
        <v>22</v>
      </c>
      <c r="F267">
        <v>1581329071</v>
      </c>
      <c r="G267" s="1" t="s">
        <v>1022</v>
      </c>
      <c r="H267" s="1" t="s">
        <v>1347</v>
      </c>
      <c r="I267" s="1" t="s">
        <v>1081</v>
      </c>
      <c r="J267">
        <v>2270</v>
      </c>
    </row>
    <row r="268" spans="1:10" x14ac:dyDescent="0.25">
      <c r="A268" s="5" t="s">
        <v>717</v>
      </c>
      <c r="B268" s="6" t="s">
        <v>718</v>
      </c>
      <c r="C268" s="6" t="s">
        <v>716</v>
      </c>
      <c r="D268" s="7" t="s">
        <v>7</v>
      </c>
      <c r="F268">
        <v>5341884086</v>
      </c>
      <c r="G268" s="1" t="s">
        <v>1022</v>
      </c>
      <c r="H268" s="1" t="s">
        <v>1348</v>
      </c>
      <c r="I268" s="1" t="s">
        <v>1081</v>
      </c>
      <c r="J268">
        <v>2748</v>
      </c>
    </row>
    <row r="269" spans="1:10" x14ac:dyDescent="0.25">
      <c r="A269" s="2" t="s">
        <v>719</v>
      </c>
      <c r="B269" s="3" t="s">
        <v>720</v>
      </c>
      <c r="C269" s="3" t="s">
        <v>721</v>
      </c>
      <c r="D269" s="4" t="s">
        <v>7</v>
      </c>
      <c r="F269">
        <v>4241680809</v>
      </c>
      <c r="G269" s="1" t="s">
        <v>1022</v>
      </c>
      <c r="H269" s="1" t="s">
        <v>1349</v>
      </c>
      <c r="I269" s="1" t="s">
        <v>1087</v>
      </c>
      <c r="J269">
        <v>1995</v>
      </c>
    </row>
    <row r="270" spans="1:10" x14ac:dyDescent="0.25">
      <c r="A270" s="5" t="s">
        <v>722</v>
      </c>
      <c r="B270" s="6" t="s">
        <v>723</v>
      </c>
      <c r="C270" s="6" t="s">
        <v>724</v>
      </c>
      <c r="D270" s="7" t="s">
        <v>7</v>
      </c>
      <c r="F270">
        <v>5229945534</v>
      </c>
      <c r="G270" s="1" t="s">
        <v>1022</v>
      </c>
      <c r="H270" s="1" t="s">
        <v>1350</v>
      </c>
      <c r="I270" s="1" t="s">
        <v>1081</v>
      </c>
      <c r="J270">
        <v>3276</v>
      </c>
    </row>
    <row r="271" spans="1:10" x14ac:dyDescent="0.25">
      <c r="A271" s="2" t="s">
        <v>725</v>
      </c>
      <c r="B271" s="3" t="s">
        <v>726</v>
      </c>
      <c r="C271" s="3" t="s">
        <v>727</v>
      </c>
      <c r="D271" s="4" t="s">
        <v>7</v>
      </c>
      <c r="F271">
        <v>2281651150</v>
      </c>
      <c r="G271" s="1" t="s">
        <v>552</v>
      </c>
      <c r="H271" s="1" t="s">
        <v>1351</v>
      </c>
      <c r="I271" s="1" t="s">
        <v>1081</v>
      </c>
      <c r="J271">
        <v>1622</v>
      </c>
    </row>
    <row r="272" spans="1:10" x14ac:dyDescent="0.25">
      <c r="A272" s="5" t="s">
        <v>728</v>
      </c>
      <c r="B272" s="6" t="s">
        <v>729</v>
      </c>
      <c r="C272" s="6" t="s">
        <v>730</v>
      </c>
      <c r="D272" s="7" t="s">
        <v>7</v>
      </c>
      <c r="F272">
        <v>6727559092</v>
      </c>
      <c r="G272" s="1" t="s">
        <v>562</v>
      </c>
      <c r="H272" s="1" t="s">
        <v>1352</v>
      </c>
      <c r="I272" s="1" t="s">
        <v>1087</v>
      </c>
      <c r="J272">
        <v>2208</v>
      </c>
    </row>
    <row r="273" spans="1:10" x14ac:dyDescent="0.25">
      <c r="A273" s="2" t="s">
        <v>731</v>
      </c>
      <c r="B273" s="3" t="s">
        <v>732</v>
      </c>
      <c r="C273" s="3" t="s">
        <v>732</v>
      </c>
      <c r="D273" s="4" t="s">
        <v>22</v>
      </c>
      <c r="F273">
        <v>3678947206</v>
      </c>
      <c r="G273" s="1" t="s">
        <v>527</v>
      </c>
      <c r="H273" s="1" t="s">
        <v>1353</v>
      </c>
      <c r="I273" s="1" t="s">
        <v>1081</v>
      </c>
      <c r="J273">
        <v>2065</v>
      </c>
    </row>
    <row r="274" spans="1:10" x14ac:dyDescent="0.25">
      <c r="A274" s="5" t="s">
        <v>733</v>
      </c>
      <c r="B274" s="6" t="s">
        <v>734</v>
      </c>
      <c r="C274" s="6" t="s">
        <v>732</v>
      </c>
      <c r="D274" s="7" t="s">
        <v>7</v>
      </c>
      <c r="F274">
        <v>2119268767</v>
      </c>
      <c r="G274" s="1" t="s">
        <v>141</v>
      </c>
      <c r="H274" s="1" t="s">
        <v>1354</v>
      </c>
      <c r="I274" s="1" t="s">
        <v>1087</v>
      </c>
      <c r="J274">
        <v>1772</v>
      </c>
    </row>
    <row r="275" spans="1:10" x14ac:dyDescent="0.25">
      <c r="A275" s="2" t="s">
        <v>735</v>
      </c>
      <c r="B275" s="3" t="s">
        <v>736</v>
      </c>
      <c r="C275" s="3" t="s">
        <v>736</v>
      </c>
      <c r="D275" s="4" t="s">
        <v>22</v>
      </c>
      <c r="F275">
        <v>3568004264</v>
      </c>
      <c r="G275" s="1" t="s">
        <v>428</v>
      </c>
      <c r="H275" s="1" t="s">
        <v>1355</v>
      </c>
      <c r="I275" s="1" t="s">
        <v>1087</v>
      </c>
      <c r="J275">
        <v>2175</v>
      </c>
    </row>
    <row r="276" spans="1:10" x14ac:dyDescent="0.25">
      <c r="A276" s="5" t="s">
        <v>737</v>
      </c>
      <c r="B276" s="6" t="s">
        <v>738</v>
      </c>
      <c r="C276" s="6" t="s">
        <v>739</v>
      </c>
      <c r="D276" s="7" t="s">
        <v>7</v>
      </c>
      <c r="F276">
        <v>4326751508</v>
      </c>
      <c r="G276" s="1" t="s">
        <v>255</v>
      </c>
      <c r="H276" s="1" t="s">
        <v>1356</v>
      </c>
      <c r="I276" s="1" t="s">
        <v>1087</v>
      </c>
      <c r="J276">
        <v>2958</v>
      </c>
    </row>
    <row r="277" spans="1:10" x14ac:dyDescent="0.25">
      <c r="A277" s="2" t="s">
        <v>740</v>
      </c>
      <c r="B277" s="3" t="s">
        <v>741</v>
      </c>
      <c r="C277" s="3" t="s">
        <v>742</v>
      </c>
      <c r="D277" s="4" t="s">
        <v>7</v>
      </c>
      <c r="F277">
        <v>4796841112</v>
      </c>
      <c r="G277" s="1" t="s">
        <v>533</v>
      </c>
      <c r="H277" s="1" t="s">
        <v>1357</v>
      </c>
      <c r="I277" s="1" t="s">
        <v>1081</v>
      </c>
      <c r="J277">
        <v>2792</v>
      </c>
    </row>
    <row r="278" spans="1:10" x14ac:dyDescent="0.25">
      <c r="A278" s="5" t="s">
        <v>743</v>
      </c>
      <c r="B278" s="6" t="s">
        <v>744</v>
      </c>
      <c r="C278" s="6" t="s">
        <v>745</v>
      </c>
      <c r="D278" s="7" t="s">
        <v>7</v>
      </c>
      <c r="F278">
        <v>2138598159</v>
      </c>
      <c r="G278" s="1" t="s">
        <v>143</v>
      </c>
      <c r="H278" s="1" t="s">
        <v>1358</v>
      </c>
      <c r="I278" s="1" t="s">
        <v>1081</v>
      </c>
      <c r="J278">
        <v>2049</v>
      </c>
    </row>
    <row r="279" spans="1:10" x14ac:dyDescent="0.25">
      <c r="A279" s="2" t="s">
        <v>746</v>
      </c>
      <c r="B279" s="3" t="s">
        <v>747</v>
      </c>
      <c r="C279" s="3" t="s">
        <v>748</v>
      </c>
      <c r="D279" s="4" t="s">
        <v>7</v>
      </c>
      <c r="F279">
        <v>1617995032</v>
      </c>
      <c r="G279" s="1" t="s">
        <v>892</v>
      </c>
      <c r="H279" s="1" t="s">
        <v>1359</v>
      </c>
      <c r="I279" s="1" t="s">
        <v>1087</v>
      </c>
      <c r="J279">
        <v>1946</v>
      </c>
    </row>
    <row r="280" spans="1:10" x14ac:dyDescent="0.25">
      <c r="A280" s="5" t="s">
        <v>749</v>
      </c>
      <c r="B280" s="6" t="s">
        <v>750</v>
      </c>
      <c r="C280" s="6" t="s">
        <v>750</v>
      </c>
      <c r="D280" s="7" t="s">
        <v>22</v>
      </c>
      <c r="F280">
        <v>1278408463</v>
      </c>
      <c r="G280" s="1" t="s">
        <v>312</v>
      </c>
      <c r="H280" s="1" t="s">
        <v>1360</v>
      </c>
      <c r="I280" s="1" t="s">
        <v>1081</v>
      </c>
      <c r="J280">
        <v>2722</v>
      </c>
    </row>
    <row r="281" spans="1:10" x14ac:dyDescent="0.25">
      <c r="A281" s="2" t="s">
        <v>751</v>
      </c>
      <c r="B281" s="3" t="s">
        <v>752</v>
      </c>
      <c r="C281" s="3" t="s">
        <v>750</v>
      </c>
      <c r="D281" s="4" t="s">
        <v>7</v>
      </c>
      <c r="F281">
        <v>3345883725</v>
      </c>
      <c r="G281" s="1" t="s">
        <v>428</v>
      </c>
      <c r="H281" s="1" t="s">
        <v>1361</v>
      </c>
      <c r="I281" s="1" t="s">
        <v>1087</v>
      </c>
      <c r="J281">
        <v>2344</v>
      </c>
    </row>
    <row r="282" spans="1:10" x14ac:dyDescent="0.25">
      <c r="A282" s="5" t="s">
        <v>753</v>
      </c>
      <c r="B282" s="6" t="s">
        <v>754</v>
      </c>
      <c r="C282" s="6" t="s">
        <v>755</v>
      </c>
      <c r="D282" s="7" t="s">
        <v>7</v>
      </c>
      <c r="F282">
        <v>5528435390</v>
      </c>
      <c r="G282" s="1" t="s">
        <v>1022</v>
      </c>
      <c r="H282" s="1" t="s">
        <v>1362</v>
      </c>
      <c r="I282" s="1" t="s">
        <v>1087</v>
      </c>
      <c r="J282">
        <v>2465</v>
      </c>
    </row>
    <row r="283" spans="1:10" x14ac:dyDescent="0.25">
      <c r="A283" s="2" t="s">
        <v>756</v>
      </c>
      <c r="B283" s="3" t="s">
        <v>757</v>
      </c>
      <c r="C283" s="3" t="s">
        <v>758</v>
      </c>
      <c r="D283" s="4" t="s">
        <v>7</v>
      </c>
      <c r="F283">
        <v>3783578981</v>
      </c>
      <c r="G283" s="1" t="s">
        <v>386</v>
      </c>
      <c r="H283" s="1" t="s">
        <v>1363</v>
      </c>
      <c r="I283" s="1" t="s">
        <v>1087</v>
      </c>
      <c r="J283">
        <v>2174</v>
      </c>
    </row>
    <row r="284" spans="1:10" x14ac:dyDescent="0.25">
      <c r="A284" s="5" t="s">
        <v>759</v>
      </c>
      <c r="B284" s="6" t="s">
        <v>760</v>
      </c>
      <c r="C284" s="6" t="s">
        <v>761</v>
      </c>
      <c r="D284" s="7" t="s">
        <v>7</v>
      </c>
      <c r="F284">
        <v>4761158900</v>
      </c>
      <c r="G284" s="1" t="s">
        <v>29</v>
      </c>
      <c r="H284" s="1" t="s">
        <v>1364</v>
      </c>
      <c r="I284" s="1" t="s">
        <v>1081</v>
      </c>
      <c r="J284">
        <v>1812</v>
      </c>
    </row>
    <row r="285" spans="1:10" x14ac:dyDescent="0.25">
      <c r="A285" s="2" t="s">
        <v>762</v>
      </c>
      <c r="B285" s="3" t="s">
        <v>763</v>
      </c>
      <c r="C285" s="3" t="s">
        <v>763</v>
      </c>
      <c r="D285" s="4" t="s">
        <v>22</v>
      </c>
      <c r="F285">
        <v>4715154852</v>
      </c>
      <c r="G285" s="1" t="s">
        <v>1003</v>
      </c>
      <c r="H285" s="1" t="s">
        <v>1365</v>
      </c>
      <c r="I285" s="1" t="s">
        <v>1081</v>
      </c>
      <c r="J285">
        <v>2800</v>
      </c>
    </row>
    <row r="286" spans="1:10" x14ac:dyDescent="0.25">
      <c r="A286" s="5" t="s">
        <v>764</v>
      </c>
      <c r="B286" s="6" t="s">
        <v>765</v>
      </c>
      <c r="C286" s="6" t="s">
        <v>763</v>
      </c>
      <c r="D286" s="7" t="s">
        <v>7</v>
      </c>
      <c r="F286">
        <v>2581219876</v>
      </c>
      <c r="G286" s="1" t="s">
        <v>141</v>
      </c>
      <c r="H286" s="1" t="s">
        <v>1366</v>
      </c>
      <c r="I286" s="1" t="s">
        <v>1087</v>
      </c>
      <c r="J286">
        <v>2478</v>
      </c>
    </row>
    <row r="287" spans="1:10" x14ac:dyDescent="0.25">
      <c r="A287" s="2" t="s">
        <v>766</v>
      </c>
      <c r="B287" s="3" t="s">
        <v>767</v>
      </c>
      <c r="C287" s="3" t="s">
        <v>768</v>
      </c>
      <c r="D287" s="4" t="s">
        <v>7</v>
      </c>
      <c r="F287">
        <v>2245871126</v>
      </c>
      <c r="G287" s="1" t="s">
        <v>73</v>
      </c>
      <c r="H287" s="1" t="s">
        <v>1367</v>
      </c>
      <c r="I287" s="1" t="s">
        <v>1081</v>
      </c>
      <c r="J287">
        <v>2562</v>
      </c>
    </row>
    <row r="288" spans="1:10" x14ac:dyDescent="0.25">
      <c r="A288" s="5" t="s">
        <v>769</v>
      </c>
      <c r="B288" s="6" t="s">
        <v>770</v>
      </c>
      <c r="C288" s="6" t="s">
        <v>771</v>
      </c>
      <c r="D288" s="7" t="s">
        <v>7</v>
      </c>
      <c r="F288">
        <v>6727559092</v>
      </c>
      <c r="G288" s="1" t="s">
        <v>562</v>
      </c>
      <c r="H288" s="1" t="s">
        <v>1368</v>
      </c>
      <c r="I288" s="1" t="s">
        <v>1087</v>
      </c>
      <c r="J288">
        <v>980</v>
      </c>
    </row>
    <row r="289" spans="1:10" x14ac:dyDescent="0.25">
      <c r="A289" s="2" t="s">
        <v>772</v>
      </c>
      <c r="B289" s="3" t="s">
        <v>773</v>
      </c>
      <c r="C289" s="3" t="s">
        <v>774</v>
      </c>
      <c r="D289" s="4" t="s">
        <v>7</v>
      </c>
      <c r="F289">
        <v>1361555378</v>
      </c>
      <c r="G289" s="1" t="s">
        <v>1022</v>
      </c>
      <c r="H289" s="1" t="s">
        <v>1369</v>
      </c>
      <c r="I289" s="1" t="s">
        <v>1087</v>
      </c>
      <c r="J289">
        <v>2325</v>
      </c>
    </row>
    <row r="290" spans="1:10" x14ac:dyDescent="0.25">
      <c r="A290" s="5" t="s">
        <v>775</v>
      </c>
      <c r="B290" s="6" t="s">
        <v>776</v>
      </c>
      <c r="C290" s="6" t="s">
        <v>776</v>
      </c>
      <c r="D290" s="7" t="s">
        <v>22</v>
      </c>
      <c r="F290">
        <v>5418968184</v>
      </c>
      <c r="G290" s="1" t="s">
        <v>1022</v>
      </c>
      <c r="H290" s="1" t="s">
        <v>1370</v>
      </c>
      <c r="I290" s="1" t="s">
        <v>1087</v>
      </c>
      <c r="J290">
        <v>1830</v>
      </c>
    </row>
    <row r="291" spans="1:10" x14ac:dyDescent="0.25">
      <c r="A291" s="2" t="s">
        <v>777</v>
      </c>
      <c r="B291" s="3" t="s">
        <v>778</v>
      </c>
      <c r="C291" s="3" t="s">
        <v>778</v>
      </c>
      <c r="D291" s="4" t="s">
        <v>22</v>
      </c>
      <c r="F291">
        <v>1165493421</v>
      </c>
      <c r="G291" s="1" t="s">
        <v>1022</v>
      </c>
      <c r="H291" s="1" t="s">
        <v>1371</v>
      </c>
      <c r="I291" s="1" t="s">
        <v>1081</v>
      </c>
      <c r="J291">
        <v>3122</v>
      </c>
    </row>
    <row r="292" spans="1:10" x14ac:dyDescent="0.25">
      <c r="A292" s="5" t="s">
        <v>779</v>
      </c>
      <c r="B292" s="6" t="s">
        <v>780</v>
      </c>
      <c r="C292" s="6" t="s">
        <v>781</v>
      </c>
      <c r="D292" s="7" t="s">
        <v>7</v>
      </c>
      <c r="F292">
        <v>1433397952</v>
      </c>
      <c r="G292" s="1" t="s">
        <v>314</v>
      </c>
      <c r="H292" s="1" t="s">
        <v>1372</v>
      </c>
      <c r="I292" s="1" t="s">
        <v>1081</v>
      </c>
      <c r="J292">
        <v>2660</v>
      </c>
    </row>
    <row r="293" spans="1:10" x14ac:dyDescent="0.25">
      <c r="A293" s="2" t="s">
        <v>782</v>
      </c>
      <c r="B293" s="3" t="s">
        <v>780</v>
      </c>
      <c r="C293" s="3" t="s">
        <v>783</v>
      </c>
      <c r="D293" s="4" t="s">
        <v>7</v>
      </c>
      <c r="F293">
        <v>6727559092</v>
      </c>
      <c r="G293" s="1" t="s">
        <v>864</v>
      </c>
      <c r="H293" s="1" t="s">
        <v>1373</v>
      </c>
      <c r="I293" s="1" t="s">
        <v>1081</v>
      </c>
      <c r="J293">
        <v>2822</v>
      </c>
    </row>
    <row r="294" spans="1:10" x14ac:dyDescent="0.25">
      <c r="A294" s="5" t="s">
        <v>784</v>
      </c>
      <c r="B294" s="6" t="s">
        <v>785</v>
      </c>
      <c r="C294" s="6" t="s">
        <v>786</v>
      </c>
      <c r="D294" s="7" t="s">
        <v>7</v>
      </c>
      <c r="F294">
        <v>5514533376</v>
      </c>
      <c r="G294" s="1" t="s">
        <v>255</v>
      </c>
      <c r="H294" s="1" t="s">
        <v>1374</v>
      </c>
      <c r="I294" s="1" t="s">
        <v>1081</v>
      </c>
      <c r="J294">
        <v>2895</v>
      </c>
    </row>
    <row r="295" spans="1:10" x14ac:dyDescent="0.25">
      <c r="A295" s="2" t="s">
        <v>787</v>
      </c>
      <c r="B295" s="3" t="s">
        <v>788</v>
      </c>
      <c r="C295" s="3" t="s">
        <v>789</v>
      </c>
      <c r="D295" s="4" t="s">
        <v>7</v>
      </c>
      <c r="F295">
        <v>3866883575</v>
      </c>
      <c r="G295" s="1" t="s">
        <v>434</v>
      </c>
      <c r="H295" s="1" t="s">
        <v>1375</v>
      </c>
      <c r="I295" s="1" t="s">
        <v>1081</v>
      </c>
      <c r="J295">
        <v>2638</v>
      </c>
    </row>
    <row r="296" spans="1:10" x14ac:dyDescent="0.25">
      <c r="A296" s="5" t="s">
        <v>790</v>
      </c>
      <c r="B296" s="6" t="s">
        <v>791</v>
      </c>
      <c r="C296" s="6" t="s">
        <v>792</v>
      </c>
      <c r="D296" s="7" t="s">
        <v>7</v>
      </c>
      <c r="F296">
        <v>1433397952</v>
      </c>
      <c r="G296" s="1" t="s">
        <v>314</v>
      </c>
      <c r="H296" s="1" t="s">
        <v>1376</v>
      </c>
      <c r="I296" s="1" t="s">
        <v>1081</v>
      </c>
      <c r="J296">
        <v>2018</v>
      </c>
    </row>
    <row r="297" spans="1:10" x14ac:dyDescent="0.25">
      <c r="A297" s="2" t="s">
        <v>793</v>
      </c>
      <c r="B297" s="3" t="s">
        <v>794</v>
      </c>
      <c r="C297" s="3" t="s">
        <v>795</v>
      </c>
      <c r="D297" s="4" t="s">
        <v>7</v>
      </c>
      <c r="F297">
        <v>4779174699</v>
      </c>
      <c r="G297" s="1" t="s">
        <v>1003</v>
      </c>
      <c r="H297" s="1" t="s">
        <v>1377</v>
      </c>
      <c r="I297" s="1" t="s">
        <v>1081</v>
      </c>
      <c r="J297">
        <v>1600</v>
      </c>
    </row>
    <row r="298" spans="1:10" x14ac:dyDescent="0.25">
      <c r="A298" s="5" t="s">
        <v>796</v>
      </c>
      <c r="B298" s="6" t="s">
        <v>797</v>
      </c>
      <c r="C298" s="6" t="s">
        <v>798</v>
      </c>
      <c r="D298" s="7" t="s">
        <v>7</v>
      </c>
      <c r="F298">
        <v>4326751508</v>
      </c>
      <c r="G298" s="1" t="s">
        <v>386</v>
      </c>
      <c r="H298" s="1" t="s">
        <v>1378</v>
      </c>
      <c r="I298" s="1" t="s">
        <v>1081</v>
      </c>
      <c r="J298">
        <v>1800</v>
      </c>
    </row>
    <row r="299" spans="1:10" x14ac:dyDescent="0.25">
      <c r="A299" s="2" t="s">
        <v>799</v>
      </c>
      <c r="B299" s="3" t="s">
        <v>800</v>
      </c>
      <c r="C299" s="3" t="s">
        <v>801</v>
      </c>
      <c r="D299" s="4" t="s">
        <v>7</v>
      </c>
      <c r="F299">
        <v>4761158900</v>
      </c>
      <c r="G299" s="1" t="s">
        <v>29</v>
      </c>
      <c r="H299" s="1" t="s">
        <v>1379</v>
      </c>
      <c r="I299" s="1" t="s">
        <v>1081</v>
      </c>
      <c r="J299">
        <v>3144</v>
      </c>
    </row>
    <row r="300" spans="1:10" x14ac:dyDescent="0.25">
      <c r="A300" s="5" t="s">
        <v>802</v>
      </c>
      <c r="B300" s="6" t="s">
        <v>803</v>
      </c>
      <c r="C300" s="6" t="s">
        <v>804</v>
      </c>
      <c r="D300" s="7" t="s">
        <v>7</v>
      </c>
      <c r="F300">
        <v>2119268767</v>
      </c>
      <c r="G300" s="1" t="s">
        <v>141</v>
      </c>
      <c r="H300" s="1" t="s">
        <v>1380</v>
      </c>
      <c r="I300" s="1" t="s">
        <v>1081</v>
      </c>
      <c r="J300">
        <v>1740</v>
      </c>
    </row>
    <row r="301" spans="1:10" x14ac:dyDescent="0.25">
      <c r="A301" s="2" t="s">
        <v>805</v>
      </c>
      <c r="B301" s="3" t="s">
        <v>806</v>
      </c>
      <c r="C301" s="3" t="s">
        <v>807</v>
      </c>
      <c r="D301" s="4" t="s">
        <v>7</v>
      </c>
      <c r="F301">
        <v>2581219876</v>
      </c>
      <c r="G301" s="1" t="s">
        <v>141</v>
      </c>
      <c r="H301" s="1" t="s">
        <v>1381</v>
      </c>
      <c r="I301" s="1" t="s">
        <v>1081</v>
      </c>
      <c r="J301">
        <v>2490</v>
      </c>
    </row>
    <row r="302" spans="1:10" x14ac:dyDescent="0.25">
      <c r="A302" s="5" t="s">
        <v>808</v>
      </c>
      <c r="B302" s="6" t="s">
        <v>809</v>
      </c>
      <c r="C302" s="6" t="s">
        <v>810</v>
      </c>
      <c r="D302" s="7" t="s">
        <v>7</v>
      </c>
      <c r="F302">
        <v>2281651150</v>
      </c>
      <c r="G302" s="1" t="s">
        <v>552</v>
      </c>
      <c r="H302" s="1" t="s">
        <v>1382</v>
      </c>
      <c r="I302" s="1" t="s">
        <v>1087</v>
      </c>
      <c r="J302">
        <v>2170</v>
      </c>
    </row>
    <row r="303" spans="1:10" x14ac:dyDescent="0.25">
      <c r="A303" s="2" t="s">
        <v>811</v>
      </c>
      <c r="B303" s="3" t="s">
        <v>812</v>
      </c>
      <c r="C303" s="3" t="s">
        <v>813</v>
      </c>
      <c r="D303" s="4" t="s">
        <v>7</v>
      </c>
      <c r="F303">
        <v>1599095267</v>
      </c>
      <c r="G303" s="1" t="s">
        <v>1022</v>
      </c>
      <c r="H303" s="1" t="s">
        <v>1383</v>
      </c>
      <c r="I303" s="1" t="s">
        <v>1081</v>
      </c>
      <c r="J303">
        <v>2238</v>
      </c>
    </row>
    <row r="304" spans="1:10" x14ac:dyDescent="0.25">
      <c r="A304" s="5" t="s">
        <v>814</v>
      </c>
      <c r="B304" s="6" t="s">
        <v>815</v>
      </c>
      <c r="C304" s="6" t="s">
        <v>816</v>
      </c>
      <c r="D304" s="7" t="s">
        <v>7</v>
      </c>
      <c r="F304">
        <v>3783578981</v>
      </c>
      <c r="G304" s="1" t="s">
        <v>386</v>
      </c>
      <c r="H304" s="1" t="s">
        <v>1384</v>
      </c>
      <c r="I304" s="1" t="s">
        <v>1087</v>
      </c>
      <c r="J304">
        <v>2642</v>
      </c>
    </row>
    <row r="305" spans="1:10" x14ac:dyDescent="0.25">
      <c r="A305" s="2" t="s">
        <v>817</v>
      </c>
      <c r="B305" s="3" t="s">
        <v>818</v>
      </c>
      <c r="C305" s="3" t="s">
        <v>819</v>
      </c>
      <c r="D305" s="4" t="s">
        <v>7</v>
      </c>
      <c r="F305">
        <v>4779174699</v>
      </c>
      <c r="G305" s="1" t="s">
        <v>1003</v>
      </c>
      <c r="H305" s="1" t="s">
        <v>1385</v>
      </c>
      <c r="I305" s="1" t="s">
        <v>1081</v>
      </c>
      <c r="J305">
        <v>1575</v>
      </c>
    </row>
    <row r="306" spans="1:10" x14ac:dyDescent="0.25">
      <c r="A306" s="5" t="s">
        <v>820</v>
      </c>
      <c r="B306" s="6" t="s">
        <v>821</v>
      </c>
      <c r="C306" s="6" t="s">
        <v>821</v>
      </c>
      <c r="D306" s="7" t="s">
        <v>22</v>
      </c>
      <c r="F306">
        <v>4580185570</v>
      </c>
      <c r="G306" s="1" t="s">
        <v>1022</v>
      </c>
      <c r="H306" s="1" t="s">
        <v>1386</v>
      </c>
      <c r="I306" s="1" t="s">
        <v>1081</v>
      </c>
      <c r="J306">
        <v>1623</v>
      </c>
    </row>
    <row r="307" spans="1:10" x14ac:dyDescent="0.25">
      <c r="A307" s="2" t="s">
        <v>822</v>
      </c>
      <c r="B307" s="3" t="s">
        <v>823</v>
      </c>
      <c r="C307" s="3" t="s">
        <v>821</v>
      </c>
      <c r="D307" s="4" t="s">
        <v>7</v>
      </c>
      <c r="F307">
        <v>6727559092</v>
      </c>
      <c r="G307" s="1" t="s">
        <v>864</v>
      </c>
      <c r="H307" s="1" t="s">
        <v>1387</v>
      </c>
      <c r="I307" s="1" t="s">
        <v>1087</v>
      </c>
      <c r="J307">
        <v>2550</v>
      </c>
    </row>
    <row r="308" spans="1:10" x14ac:dyDescent="0.25">
      <c r="A308" s="5" t="s">
        <v>824</v>
      </c>
      <c r="B308" s="6" t="s">
        <v>825</v>
      </c>
      <c r="C308" s="6" t="s">
        <v>826</v>
      </c>
      <c r="D308" s="7" t="s">
        <v>7</v>
      </c>
      <c r="F308">
        <v>6727559092</v>
      </c>
      <c r="G308" s="1" t="s">
        <v>864</v>
      </c>
      <c r="H308" s="1" t="s">
        <v>1388</v>
      </c>
      <c r="I308" s="1" t="s">
        <v>1081</v>
      </c>
      <c r="J308">
        <v>2384</v>
      </c>
    </row>
    <row r="309" spans="1:10" x14ac:dyDescent="0.25">
      <c r="A309" s="2" t="s">
        <v>827</v>
      </c>
      <c r="B309" s="3" t="s">
        <v>825</v>
      </c>
      <c r="C309" s="3" t="s">
        <v>828</v>
      </c>
      <c r="D309" s="4" t="s">
        <v>7</v>
      </c>
      <c r="F309">
        <v>5418968184</v>
      </c>
      <c r="G309" s="1" t="s">
        <v>708</v>
      </c>
      <c r="H309" s="1" t="s">
        <v>1389</v>
      </c>
      <c r="I309" s="1" t="s">
        <v>1087</v>
      </c>
      <c r="J309">
        <v>2364</v>
      </c>
    </row>
    <row r="310" spans="1:10" x14ac:dyDescent="0.25">
      <c r="A310" s="5" t="s">
        <v>829</v>
      </c>
      <c r="B310" s="6" t="s">
        <v>830</v>
      </c>
      <c r="C310" s="6" t="s">
        <v>831</v>
      </c>
      <c r="D310" s="7" t="s">
        <v>7</v>
      </c>
      <c r="F310">
        <v>5514533376</v>
      </c>
      <c r="G310" s="1" t="s">
        <v>255</v>
      </c>
      <c r="H310" s="1" t="s">
        <v>1390</v>
      </c>
      <c r="I310" s="1" t="s">
        <v>1081</v>
      </c>
      <c r="J310">
        <v>2642</v>
      </c>
    </row>
    <row r="311" spans="1:10" x14ac:dyDescent="0.25">
      <c r="A311" s="2" t="s">
        <v>832</v>
      </c>
      <c r="B311" s="3" t="s">
        <v>833</v>
      </c>
      <c r="C311" s="3" t="s">
        <v>834</v>
      </c>
      <c r="D311" s="4" t="s">
        <v>7</v>
      </c>
      <c r="F311">
        <v>3579231044</v>
      </c>
      <c r="G311" s="1" t="s">
        <v>370</v>
      </c>
      <c r="H311" s="1" t="s">
        <v>1391</v>
      </c>
      <c r="I311" s="1" t="s">
        <v>1081</v>
      </c>
      <c r="J311">
        <v>3002</v>
      </c>
    </row>
    <row r="312" spans="1:10" x14ac:dyDescent="0.25">
      <c r="A312" s="5" t="s">
        <v>835</v>
      </c>
      <c r="B312" s="6" t="s">
        <v>836</v>
      </c>
      <c r="C312" s="6" t="s">
        <v>837</v>
      </c>
      <c r="D312" s="7" t="s">
        <v>7</v>
      </c>
      <c r="F312">
        <v>4458233905</v>
      </c>
      <c r="G312" s="1" t="s">
        <v>1003</v>
      </c>
      <c r="H312" s="1" t="s">
        <v>1392</v>
      </c>
      <c r="I312" s="1" t="s">
        <v>1081</v>
      </c>
      <c r="J312">
        <v>3128</v>
      </c>
    </row>
    <row r="313" spans="1:10" x14ac:dyDescent="0.25">
      <c r="A313" s="2" t="s">
        <v>838</v>
      </c>
      <c r="B313" s="3" t="s">
        <v>839</v>
      </c>
      <c r="C313" s="3" t="s">
        <v>840</v>
      </c>
      <c r="D313" s="4" t="s">
        <v>22</v>
      </c>
      <c r="F313">
        <v>1939065269</v>
      </c>
      <c r="G313" s="1" t="s">
        <v>636</v>
      </c>
      <c r="H313" s="1" t="s">
        <v>1393</v>
      </c>
      <c r="I313" s="1" t="s">
        <v>1087</v>
      </c>
      <c r="J313">
        <v>1980</v>
      </c>
    </row>
    <row r="314" spans="1:10" x14ac:dyDescent="0.25">
      <c r="A314" s="5" t="s">
        <v>841</v>
      </c>
      <c r="B314" s="6" t="s">
        <v>842</v>
      </c>
      <c r="C314" s="6" t="s">
        <v>842</v>
      </c>
      <c r="D314" s="7" t="s">
        <v>22</v>
      </c>
      <c r="F314">
        <v>3345883725</v>
      </c>
      <c r="G314" s="1" t="s">
        <v>428</v>
      </c>
      <c r="H314" s="1" t="s">
        <v>1394</v>
      </c>
      <c r="I314" s="1" t="s">
        <v>1087</v>
      </c>
      <c r="J314">
        <v>2784</v>
      </c>
    </row>
    <row r="315" spans="1:10" x14ac:dyDescent="0.25">
      <c r="A315" s="2" t="s">
        <v>843</v>
      </c>
      <c r="B315" s="3" t="s">
        <v>844</v>
      </c>
      <c r="C315" s="3" t="s">
        <v>845</v>
      </c>
      <c r="D315" s="4" t="s">
        <v>7</v>
      </c>
      <c r="F315">
        <v>3357631311</v>
      </c>
      <c r="G315" s="1" t="s">
        <v>1030</v>
      </c>
      <c r="H315" s="1" t="s">
        <v>1395</v>
      </c>
      <c r="I315" s="1" t="s">
        <v>1081</v>
      </c>
      <c r="J315">
        <v>2014</v>
      </c>
    </row>
    <row r="316" spans="1:10" x14ac:dyDescent="0.25">
      <c r="A316" s="5" t="s">
        <v>846</v>
      </c>
      <c r="B316" s="6" t="s">
        <v>847</v>
      </c>
      <c r="C316" s="6" t="s">
        <v>847</v>
      </c>
      <c r="D316" s="7" t="s">
        <v>22</v>
      </c>
      <c r="F316">
        <v>2869229213</v>
      </c>
      <c r="G316" s="1" t="s">
        <v>708</v>
      </c>
      <c r="H316" s="1" t="s">
        <v>1396</v>
      </c>
      <c r="I316" s="1" t="s">
        <v>1087</v>
      </c>
      <c r="J316">
        <v>1280</v>
      </c>
    </row>
    <row r="317" spans="1:10" x14ac:dyDescent="0.25">
      <c r="A317" s="2" t="s">
        <v>848</v>
      </c>
      <c r="B317" s="3" t="s">
        <v>849</v>
      </c>
      <c r="C317" s="3" t="s">
        <v>850</v>
      </c>
      <c r="D317" s="4" t="s">
        <v>7</v>
      </c>
      <c r="F317">
        <v>1599095267</v>
      </c>
      <c r="G317" s="1" t="s">
        <v>708</v>
      </c>
      <c r="H317" s="1" t="s">
        <v>1397</v>
      </c>
      <c r="I317" s="1" t="s">
        <v>1087</v>
      </c>
      <c r="J317">
        <v>2796</v>
      </c>
    </row>
    <row r="318" spans="1:10" x14ac:dyDescent="0.25">
      <c r="A318" s="5" t="s">
        <v>851</v>
      </c>
      <c r="B318" s="6" t="s">
        <v>852</v>
      </c>
      <c r="C318" s="6" t="s">
        <v>853</v>
      </c>
      <c r="D318" s="7" t="s">
        <v>7</v>
      </c>
      <c r="F318">
        <v>3678947206</v>
      </c>
      <c r="G318" s="1" t="s">
        <v>527</v>
      </c>
      <c r="H318" s="1" t="s">
        <v>1398</v>
      </c>
      <c r="I318" s="1" t="s">
        <v>1087</v>
      </c>
      <c r="J318">
        <v>2475</v>
      </c>
    </row>
    <row r="319" spans="1:10" x14ac:dyDescent="0.25">
      <c r="A319" s="2" t="s">
        <v>854</v>
      </c>
      <c r="B319" s="3" t="s">
        <v>855</v>
      </c>
      <c r="C319" s="3" t="s">
        <v>856</v>
      </c>
      <c r="D319" s="4" t="s">
        <v>7</v>
      </c>
      <c r="F319">
        <v>2245871126</v>
      </c>
      <c r="G319" s="1" t="s">
        <v>73</v>
      </c>
      <c r="H319" s="1" t="s">
        <v>1399</v>
      </c>
      <c r="I319" s="1" t="s">
        <v>1087</v>
      </c>
      <c r="J319">
        <v>1806</v>
      </c>
    </row>
    <row r="320" spans="1:10" x14ac:dyDescent="0.25">
      <c r="A320" s="5" t="s">
        <v>857</v>
      </c>
      <c r="B320" s="6" t="s">
        <v>858</v>
      </c>
      <c r="C320" s="6" t="s">
        <v>859</v>
      </c>
      <c r="D320" s="7" t="s">
        <v>7</v>
      </c>
      <c r="F320">
        <v>5115061689</v>
      </c>
      <c r="G320" s="1" t="s">
        <v>704</v>
      </c>
      <c r="H320" s="1" t="s">
        <v>1400</v>
      </c>
      <c r="I320" s="1" t="s">
        <v>1087</v>
      </c>
      <c r="J320">
        <v>2595</v>
      </c>
    </row>
    <row r="321" spans="1:10" x14ac:dyDescent="0.25">
      <c r="A321" s="2" t="s">
        <v>860</v>
      </c>
      <c r="B321" s="3" t="s">
        <v>861</v>
      </c>
      <c r="C321" s="3" t="s">
        <v>861</v>
      </c>
      <c r="D321" s="4" t="s">
        <v>22</v>
      </c>
      <c r="F321">
        <v>1620242236</v>
      </c>
      <c r="G321" s="1" t="s">
        <v>314</v>
      </c>
      <c r="H321" s="1" t="s">
        <v>1401</v>
      </c>
      <c r="I321" s="1" t="s">
        <v>1081</v>
      </c>
      <c r="J321">
        <v>2836</v>
      </c>
    </row>
    <row r="322" spans="1:10" x14ac:dyDescent="0.25">
      <c r="A322" s="5" t="s">
        <v>862</v>
      </c>
      <c r="B322" s="6" t="s">
        <v>863</v>
      </c>
      <c r="C322" s="6" t="s">
        <v>861</v>
      </c>
      <c r="D322" s="7" t="s">
        <v>7</v>
      </c>
      <c r="F322">
        <v>3318203338</v>
      </c>
      <c r="G322" s="1" t="s">
        <v>708</v>
      </c>
      <c r="H322" s="1" t="s">
        <v>1402</v>
      </c>
      <c r="I322" s="1" t="s">
        <v>1087</v>
      </c>
      <c r="J322">
        <v>2349</v>
      </c>
    </row>
    <row r="323" spans="1:10" x14ac:dyDescent="0.25">
      <c r="A323" s="2" t="s">
        <v>864</v>
      </c>
      <c r="B323" s="3" t="s">
        <v>865</v>
      </c>
      <c r="C323" s="3" t="s">
        <v>866</v>
      </c>
      <c r="D323" s="4" t="s">
        <v>7</v>
      </c>
      <c r="F323">
        <v>3357631311</v>
      </c>
      <c r="G323" s="1" t="s">
        <v>1030</v>
      </c>
      <c r="H323" s="1" t="s">
        <v>1403</v>
      </c>
      <c r="I323" s="1" t="s">
        <v>1087</v>
      </c>
      <c r="J323">
        <v>2870</v>
      </c>
    </row>
    <row r="324" spans="1:10" x14ac:dyDescent="0.25">
      <c r="A324" s="5" t="s">
        <v>867</v>
      </c>
      <c r="B324" s="6" t="s">
        <v>868</v>
      </c>
      <c r="C324" s="6" t="s">
        <v>868</v>
      </c>
      <c r="D324" s="7" t="s">
        <v>22</v>
      </c>
      <c r="F324">
        <v>4580185570</v>
      </c>
      <c r="G324" s="1" t="s">
        <v>708</v>
      </c>
      <c r="H324" s="1" t="s">
        <v>1404</v>
      </c>
      <c r="I324" s="1" t="s">
        <v>1087</v>
      </c>
      <c r="J324">
        <v>2616</v>
      </c>
    </row>
    <row r="325" spans="1:10" x14ac:dyDescent="0.25">
      <c r="A325" s="2" t="s">
        <v>869</v>
      </c>
      <c r="B325" s="3" t="s">
        <v>870</v>
      </c>
      <c r="C325" s="3" t="s">
        <v>868</v>
      </c>
      <c r="D325" s="4" t="s">
        <v>7</v>
      </c>
      <c r="F325">
        <v>6758177505</v>
      </c>
      <c r="G325" s="1" t="s">
        <v>864</v>
      </c>
      <c r="H325" s="1" t="s">
        <v>1405</v>
      </c>
      <c r="I325" s="1" t="s">
        <v>1081</v>
      </c>
      <c r="J325">
        <v>2523</v>
      </c>
    </row>
    <row r="326" spans="1:10" x14ac:dyDescent="0.25">
      <c r="A326" s="5" t="s">
        <v>871</v>
      </c>
      <c r="B326" s="6" t="s">
        <v>872</v>
      </c>
      <c r="C326" s="6" t="s">
        <v>873</v>
      </c>
      <c r="D326" s="7" t="s">
        <v>7</v>
      </c>
      <c r="F326">
        <v>3568004264</v>
      </c>
      <c r="G326" s="1" t="s">
        <v>428</v>
      </c>
      <c r="H326" s="1" t="s">
        <v>1406</v>
      </c>
      <c r="I326" s="1" t="s">
        <v>1081</v>
      </c>
      <c r="J326">
        <v>2060</v>
      </c>
    </row>
    <row r="327" spans="1:10" x14ac:dyDescent="0.25">
      <c r="A327" s="2" t="s">
        <v>874</v>
      </c>
      <c r="B327" s="3" t="s">
        <v>875</v>
      </c>
      <c r="C327" s="3" t="s">
        <v>876</v>
      </c>
      <c r="D327" s="4" t="s">
        <v>7</v>
      </c>
      <c r="F327">
        <v>3470453173</v>
      </c>
      <c r="G327" s="1" t="s">
        <v>85</v>
      </c>
      <c r="H327" s="1" t="s">
        <v>1407</v>
      </c>
      <c r="I327" s="1" t="s">
        <v>1087</v>
      </c>
      <c r="J327">
        <v>2151</v>
      </c>
    </row>
    <row r="328" spans="1:10" x14ac:dyDescent="0.25">
      <c r="A328" s="5" t="s">
        <v>877</v>
      </c>
      <c r="B328" s="6" t="s">
        <v>878</v>
      </c>
      <c r="C328" s="6" t="s">
        <v>879</v>
      </c>
      <c r="D328" s="7" t="s">
        <v>7</v>
      </c>
      <c r="F328">
        <v>3866883575</v>
      </c>
      <c r="G328" s="1" t="s">
        <v>434</v>
      </c>
      <c r="H328" s="1" t="s">
        <v>1408</v>
      </c>
      <c r="I328" s="1" t="s">
        <v>1087</v>
      </c>
      <c r="J328">
        <v>2818</v>
      </c>
    </row>
    <row r="329" spans="1:10" x14ac:dyDescent="0.25">
      <c r="A329" s="2" t="s">
        <v>880</v>
      </c>
      <c r="B329" s="3" t="s">
        <v>878</v>
      </c>
      <c r="C329" s="3" t="s">
        <v>881</v>
      </c>
      <c r="D329" s="4" t="s">
        <v>7</v>
      </c>
      <c r="F329">
        <v>1433397952</v>
      </c>
      <c r="G329" s="1" t="s">
        <v>314</v>
      </c>
      <c r="H329" s="1" t="s">
        <v>1409</v>
      </c>
      <c r="I329" s="1" t="s">
        <v>1087</v>
      </c>
      <c r="J329">
        <v>1851</v>
      </c>
    </row>
    <row r="330" spans="1:10" x14ac:dyDescent="0.25">
      <c r="A330" s="5" t="s">
        <v>882</v>
      </c>
      <c r="B330" s="6" t="s">
        <v>883</v>
      </c>
      <c r="C330" s="6" t="s">
        <v>883</v>
      </c>
      <c r="D330" s="7" t="s">
        <v>22</v>
      </c>
      <c r="F330">
        <v>3470453173</v>
      </c>
      <c r="G330" s="1" t="s">
        <v>85</v>
      </c>
      <c r="H330" s="1" t="s">
        <v>1410</v>
      </c>
      <c r="I330" s="1" t="s">
        <v>1081</v>
      </c>
      <c r="J330">
        <v>2062</v>
      </c>
    </row>
    <row r="331" spans="1:10" x14ac:dyDescent="0.25">
      <c r="A331" s="2" t="s">
        <v>884</v>
      </c>
      <c r="B331" s="3" t="s">
        <v>885</v>
      </c>
      <c r="C331" s="3" t="s">
        <v>883</v>
      </c>
      <c r="D331" s="4" t="s">
        <v>7</v>
      </c>
      <c r="F331">
        <v>6758177505</v>
      </c>
      <c r="G331" s="1" t="s">
        <v>864</v>
      </c>
      <c r="H331" s="1" t="s">
        <v>1411</v>
      </c>
      <c r="I331" s="1" t="s">
        <v>1087</v>
      </c>
      <c r="J331">
        <v>2258</v>
      </c>
    </row>
    <row r="332" spans="1:10" x14ac:dyDescent="0.25">
      <c r="A332" s="5" t="s">
        <v>886</v>
      </c>
      <c r="B332" s="6" t="s">
        <v>887</v>
      </c>
      <c r="C332" s="6" t="s">
        <v>888</v>
      </c>
      <c r="D332" s="7" t="s">
        <v>7</v>
      </c>
      <c r="F332">
        <v>5266741491</v>
      </c>
      <c r="G332" s="1" t="s">
        <v>708</v>
      </c>
      <c r="H332" s="1" t="s">
        <v>1412</v>
      </c>
      <c r="I332" s="1" t="s">
        <v>1087</v>
      </c>
      <c r="J332">
        <v>1774</v>
      </c>
    </row>
    <row r="333" spans="1:10" x14ac:dyDescent="0.25">
      <c r="A333" s="2" t="s">
        <v>889</v>
      </c>
      <c r="B333" s="3" t="s">
        <v>890</v>
      </c>
      <c r="C333" s="3" t="s">
        <v>891</v>
      </c>
      <c r="D333" s="4" t="s">
        <v>7</v>
      </c>
      <c r="F333">
        <v>2214740049</v>
      </c>
      <c r="G333" s="1" t="s">
        <v>56</v>
      </c>
      <c r="H333" s="1" t="s">
        <v>1413</v>
      </c>
      <c r="I333" s="1" t="s">
        <v>1087</v>
      </c>
      <c r="J333">
        <v>2066</v>
      </c>
    </row>
    <row r="334" spans="1:10" x14ac:dyDescent="0.25">
      <c r="A334" s="5" t="s">
        <v>892</v>
      </c>
      <c r="B334" s="6" t="s">
        <v>893</v>
      </c>
      <c r="C334" s="6" t="s">
        <v>894</v>
      </c>
      <c r="D334" s="7" t="s">
        <v>7</v>
      </c>
      <c r="F334">
        <v>1433397952</v>
      </c>
      <c r="G334" s="1" t="s">
        <v>314</v>
      </c>
      <c r="H334" s="1" t="s">
        <v>1414</v>
      </c>
      <c r="I334" s="1" t="s">
        <v>1087</v>
      </c>
      <c r="J334">
        <v>1626</v>
      </c>
    </row>
    <row r="335" spans="1:10" x14ac:dyDescent="0.25">
      <c r="A335" s="2" t="s">
        <v>895</v>
      </c>
      <c r="B335" s="3" t="s">
        <v>896</v>
      </c>
      <c r="C335" s="3" t="s">
        <v>896</v>
      </c>
      <c r="D335" s="4" t="s">
        <v>22</v>
      </c>
      <c r="F335">
        <v>4326751508</v>
      </c>
      <c r="G335" s="1" t="s">
        <v>255</v>
      </c>
      <c r="H335" s="1" t="s">
        <v>1415</v>
      </c>
      <c r="I335" s="1" t="s">
        <v>1087</v>
      </c>
      <c r="J335">
        <v>1601</v>
      </c>
    </row>
    <row r="336" spans="1:10" x14ac:dyDescent="0.25">
      <c r="A336" s="5" t="s">
        <v>897</v>
      </c>
      <c r="B336" s="6" t="s">
        <v>898</v>
      </c>
      <c r="C336" s="6" t="s">
        <v>896</v>
      </c>
      <c r="D336" s="7" t="s">
        <v>7</v>
      </c>
      <c r="F336">
        <v>1433397952</v>
      </c>
      <c r="G336" s="1" t="s">
        <v>314</v>
      </c>
      <c r="H336" s="1" t="s">
        <v>1416</v>
      </c>
      <c r="I336" s="1" t="s">
        <v>1087</v>
      </c>
      <c r="J336">
        <v>2865</v>
      </c>
    </row>
    <row r="337" spans="1:10" x14ac:dyDescent="0.25">
      <c r="A337" s="2" t="s">
        <v>899</v>
      </c>
      <c r="B337" s="3" t="s">
        <v>900</v>
      </c>
      <c r="C337" s="3" t="s">
        <v>901</v>
      </c>
      <c r="D337" s="4" t="s">
        <v>7</v>
      </c>
      <c r="F337">
        <v>2281651150</v>
      </c>
      <c r="G337" s="1" t="s">
        <v>552</v>
      </c>
      <c r="H337" s="1" t="s">
        <v>1417</v>
      </c>
      <c r="I337" s="1" t="s">
        <v>1081</v>
      </c>
      <c r="J337">
        <v>2136</v>
      </c>
    </row>
    <row r="338" spans="1:10" x14ac:dyDescent="0.25">
      <c r="A338" s="5" t="s">
        <v>902</v>
      </c>
      <c r="B338" s="6" t="s">
        <v>903</v>
      </c>
      <c r="C338" s="6" t="s">
        <v>904</v>
      </c>
      <c r="D338" s="7" t="s">
        <v>7</v>
      </c>
      <c r="F338">
        <v>5581610439</v>
      </c>
      <c r="G338" s="1" t="s">
        <v>602</v>
      </c>
      <c r="H338" s="1" t="s">
        <v>1418</v>
      </c>
      <c r="I338" s="1" t="s">
        <v>1087</v>
      </c>
      <c r="J338">
        <v>2316</v>
      </c>
    </row>
    <row r="339" spans="1:10" x14ac:dyDescent="0.25">
      <c r="A339" s="2" t="s">
        <v>905</v>
      </c>
      <c r="B339" s="3" t="s">
        <v>906</v>
      </c>
      <c r="C339" s="3" t="s">
        <v>907</v>
      </c>
      <c r="D339" s="4" t="s">
        <v>7</v>
      </c>
    </row>
    <row r="340" spans="1:10" x14ac:dyDescent="0.25">
      <c r="A340" s="5" t="s">
        <v>908</v>
      </c>
      <c r="B340" s="6" t="s">
        <v>909</v>
      </c>
      <c r="C340" s="6" t="s">
        <v>909</v>
      </c>
      <c r="D340" s="7" t="s">
        <v>22</v>
      </c>
    </row>
    <row r="341" spans="1:10" x14ac:dyDescent="0.25">
      <c r="A341" s="2" t="s">
        <v>910</v>
      </c>
      <c r="B341" s="3" t="s">
        <v>911</v>
      </c>
      <c r="C341" s="3" t="s">
        <v>909</v>
      </c>
      <c r="D341" s="4" t="s">
        <v>7</v>
      </c>
    </row>
    <row r="342" spans="1:10" x14ac:dyDescent="0.25">
      <c r="A342" s="5" t="s">
        <v>912</v>
      </c>
      <c r="B342" s="6" t="s">
        <v>913</v>
      </c>
      <c r="C342" s="6" t="s">
        <v>914</v>
      </c>
      <c r="D342" s="7" t="s">
        <v>7</v>
      </c>
    </row>
    <row r="343" spans="1:10" x14ac:dyDescent="0.25">
      <c r="A343" s="2" t="s">
        <v>915</v>
      </c>
      <c r="B343" s="3" t="s">
        <v>916</v>
      </c>
      <c r="C343" s="3" t="s">
        <v>917</v>
      </c>
      <c r="D343" s="4" t="s">
        <v>918</v>
      </c>
    </row>
    <row r="344" spans="1:10" x14ac:dyDescent="0.25">
      <c r="A344" s="5" t="s">
        <v>919</v>
      </c>
      <c r="B344" s="6" t="s">
        <v>916</v>
      </c>
      <c r="C344" s="6" t="s">
        <v>920</v>
      </c>
      <c r="D344" s="7" t="s">
        <v>918</v>
      </c>
    </row>
    <row r="345" spans="1:10" x14ac:dyDescent="0.25">
      <c r="A345" s="2" t="s">
        <v>921</v>
      </c>
      <c r="B345" s="3" t="s">
        <v>916</v>
      </c>
      <c r="C345" s="3" t="s">
        <v>922</v>
      </c>
      <c r="D345" s="4" t="s">
        <v>918</v>
      </c>
    </row>
    <row r="346" spans="1:10" x14ac:dyDescent="0.25">
      <c r="A346" s="5" t="s">
        <v>923</v>
      </c>
      <c r="B346" s="6" t="s">
        <v>916</v>
      </c>
      <c r="C346" s="6" t="s">
        <v>924</v>
      </c>
      <c r="D346" s="7" t="s">
        <v>918</v>
      </c>
    </row>
    <row r="347" spans="1:10" x14ac:dyDescent="0.25">
      <c r="A347" s="2" t="s">
        <v>925</v>
      </c>
      <c r="B347" s="3" t="s">
        <v>916</v>
      </c>
      <c r="C347" s="3" t="s">
        <v>926</v>
      </c>
      <c r="D347" s="4" t="s">
        <v>918</v>
      </c>
    </row>
    <row r="348" spans="1:10" x14ac:dyDescent="0.25">
      <c r="A348" s="5" t="s">
        <v>927</v>
      </c>
      <c r="B348" s="6" t="s">
        <v>916</v>
      </c>
      <c r="C348" s="6" t="s">
        <v>928</v>
      </c>
      <c r="D348" s="7" t="s">
        <v>918</v>
      </c>
    </row>
    <row r="349" spans="1:10" x14ac:dyDescent="0.25">
      <c r="A349" s="2" t="s">
        <v>929</v>
      </c>
      <c r="B349" s="3" t="s">
        <v>916</v>
      </c>
      <c r="C349" s="3" t="s">
        <v>930</v>
      </c>
      <c r="D349" s="4" t="s">
        <v>918</v>
      </c>
    </row>
    <row r="350" spans="1:10" x14ac:dyDescent="0.25">
      <c r="A350" s="5" t="s">
        <v>931</v>
      </c>
      <c r="B350" s="6" t="s">
        <v>916</v>
      </c>
      <c r="C350" s="6" t="s">
        <v>932</v>
      </c>
      <c r="D350" s="7" t="s">
        <v>918</v>
      </c>
    </row>
    <row r="351" spans="1:10" x14ac:dyDescent="0.25">
      <c r="A351" s="2" t="s">
        <v>933</v>
      </c>
      <c r="B351" s="3" t="s">
        <v>916</v>
      </c>
      <c r="C351" s="3" t="s">
        <v>934</v>
      </c>
      <c r="D351" s="4" t="s">
        <v>918</v>
      </c>
    </row>
    <row r="352" spans="1:10" x14ac:dyDescent="0.25">
      <c r="A352" s="5" t="s">
        <v>935</v>
      </c>
      <c r="B352" s="6" t="s">
        <v>916</v>
      </c>
      <c r="C352" s="6" t="s">
        <v>936</v>
      </c>
      <c r="D352" s="7" t="s">
        <v>918</v>
      </c>
    </row>
    <row r="353" spans="1:4" x14ac:dyDescent="0.25">
      <c r="A353" s="2" t="s">
        <v>937</v>
      </c>
      <c r="B353" s="3" t="s">
        <v>916</v>
      </c>
      <c r="C353" s="3" t="s">
        <v>938</v>
      </c>
      <c r="D353" s="4" t="s">
        <v>918</v>
      </c>
    </row>
    <row r="354" spans="1:4" x14ac:dyDescent="0.25">
      <c r="A354" s="5" t="s">
        <v>939</v>
      </c>
      <c r="B354" s="6" t="s">
        <v>916</v>
      </c>
      <c r="C354" s="6" t="s">
        <v>940</v>
      </c>
      <c r="D354" s="7" t="s">
        <v>918</v>
      </c>
    </row>
    <row r="355" spans="1:4" x14ac:dyDescent="0.25">
      <c r="A355" s="2" t="s">
        <v>941</v>
      </c>
      <c r="B355" s="3" t="s">
        <v>916</v>
      </c>
      <c r="C355" s="3" t="s">
        <v>942</v>
      </c>
      <c r="D355" s="4" t="s">
        <v>918</v>
      </c>
    </row>
    <row r="356" spans="1:4" x14ac:dyDescent="0.25">
      <c r="A356" s="5" t="s">
        <v>943</v>
      </c>
      <c r="B356" s="6" t="s">
        <v>916</v>
      </c>
      <c r="C356" s="6" t="s">
        <v>944</v>
      </c>
      <c r="D356" s="7" t="s">
        <v>918</v>
      </c>
    </row>
    <row r="357" spans="1:4" x14ac:dyDescent="0.25">
      <c r="A357" s="2" t="s">
        <v>945</v>
      </c>
      <c r="B357" s="3" t="s">
        <v>916</v>
      </c>
      <c r="C357" s="3" t="s">
        <v>944</v>
      </c>
      <c r="D357" s="4" t="s">
        <v>918</v>
      </c>
    </row>
    <row r="358" spans="1:4" x14ac:dyDescent="0.25">
      <c r="A358" s="5" t="s">
        <v>946</v>
      </c>
      <c r="B358" s="6" t="s">
        <v>916</v>
      </c>
      <c r="C358" s="6" t="s">
        <v>944</v>
      </c>
      <c r="D358" s="7" t="s">
        <v>918</v>
      </c>
    </row>
    <row r="359" spans="1:4" x14ac:dyDescent="0.25">
      <c r="A359" s="2" t="s">
        <v>947</v>
      </c>
      <c r="B359" s="3" t="s">
        <v>916</v>
      </c>
      <c r="C359" s="3" t="s">
        <v>944</v>
      </c>
      <c r="D359" s="4" t="s">
        <v>918</v>
      </c>
    </row>
    <row r="360" spans="1:4" x14ac:dyDescent="0.25">
      <c r="A360" s="5" t="s">
        <v>948</v>
      </c>
      <c r="B360" s="6" t="s">
        <v>916</v>
      </c>
      <c r="C360" s="6" t="s">
        <v>949</v>
      </c>
      <c r="D360" s="7" t="s">
        <v>918</v>
      </c>
    </row>
    <row r="361" spans="1:4" x14ac:dyDescent="0.25">
      <c r="A361" s="2" t="s">
        <v>950</v>
      </c>
      <c r="B361" s="3" t="s">
        <v>916</v>
      </c>
      <c r="C361" s="3" t="s">
        <v>949</v>
      </c>
      <c r="D361" s="4" t="s">
        <v>918</v>
      </c>
    </row>
    <row r="362" spans="1:4" x14ac:dyDescent="0.25">
      <c r="A362" s="5" t="s">
        <v>951</v>
      </c>
      <c r="B362" s="6" t="s">
        <v>916</v>
      </c>
      <c r="C362" s="6" t="s">
        <v>949</v>
      </c>
      <c r="D362" s="7" t="s">
        <v>918</v>
      </c>
    </row>
    <row r="363" spans="1:4" x14ac:dyDescent="0.25">
      <c r="A363" s="2" t="s">
        <v>952</v>
      </c>
      <c r="B363" s="3" t="s">
        <v>916</v>
      </c>
      <c r="C363" s="3" t="s">
        <v>949</v>
      </c>
      <c r="D363" s="4" t="s">
        <v>918</v>
      </c>
    </row>
    <row r="364" spans="1:4" x14ac:dyDescent="0.25">
      <c r="A364" s="5" t="s">
        <v>953</v>
      </c>
      <c r="B364" s="6" t="s">
        <v>916</v>
      </c>
      <c r="C364" s="6" t="s">
        <v>949</v>
      </c>
      <c r="D364" s="7" t="s">
        <v>918</v>
      </c>
    </row>
    <row r="365" spans="1:4" x14ac:dyDescent="0.25">
      <c r="A365" s="2" t="s">
        <v>954</v>
      </c>
      <c r="B365" s="3" t="s">
        <v>916</v>
      </c>
      <c r="C365" s="3" t="s">
        <v>949</v>
      </c>
      <c r="D365" s="4" t="s">
        <v>918</v>
      </c>
    </row>
    <row r="366" spans="1:4" x14ac:dyDescent="0.25">
      <c r="A366" s="5" t="s">
        <v>955</v>
      </c>
      <c r="B366" s="6" t="s">
        <v>916</v>
      </c>
      <c r="C366" s="6" t="s">
        <v>949</v>
      </c>
      <c r="D366" s="7" t="s">
        <v>918</v>
      </c>
    </row>
    <row r="367" spans="1:4" x14ac:dyDescent="0.25">
      <c r="A367" s="2" t="s">
        <v>956</v>
      </c>
      <c r="B367" s="3" t="s">
        <v>916</v>
      </c>
      <c r="C367" s="3" t="s">
        <v>957</v>
      </c>
      <c r="D367" s="4" t="s">
        <v>918</v>
      </c>
    </row>
    <row r="368" spans="1:4" x14ac:dyDescent="0.25">
      <c r="A368" s="5" t="s">
        <v>958</v>
      </c>
      <c r="B368" s="6" t="s">
        <v>916</v>
      </c>
      <c r="C368" s="6" t="s">
        <v>959</v>
      </c>
      <c r="D368" s="7" t="s">
        <v>918</v>
      </c>
    </row>
    <row r="369" spans="1:4" x14ac:dyDescent="0.25">
      <c r="A369" s="2" t="s">
        <v>960</v>
      </c>
      <c r="B369" s="3" t="s">
        <v>961</v>
      </c>
      <c r="C369" s="3" t="s">
        <v>962</v>
      </c>
      <c r="D369" s="4" t="s">
        <v>7</v>
      </c>
    </row>
    <row r="370" spans="1:4" x14ac:dyDescent="0.25">
      <c r="A370" s="5" t="s">
        <v>963</v>
      </c>
      <c r="B370" s="6" t="s">
        <v>964</v>
      </c>
      <c r="C370" s="6" t="s">
        <v>965</v>
      </c>
      <c r="D370" s="7" t="s">
        <v>7</v>
      </c>
    </row>
    <row r="371" spans="1:4" x14ac:dyDescent="0.25">
      <c r="A371" s="2" t="s">
        <v>966</v>
      </c>
      <c r="B371" s="3" t="s">
        <v>967</v>
      </c>
      <c r="C371" s="3" t="s">
        <v>968</v>
      </c>
      <c r="D371" s="4" t="s">
        <v>7</v>
      </c>
    </row>
    <row r="372" spans="1:4" x14ac:dyDescent="0.25">
      <c r="A372" s="5" t="s">
        <v>969</v>
      </c>
      <c r="B372" s="6" t="s">
        <v>970</v>
      </c>
      <c r="C372" s="6" t="s">
        <v>971</v>
      </c>
      <c r="D372" s="7" t="s">
        <v>7</v>
      </c>
    </row>
    <row r="373" spans="1:4" x14ac:dyDescent="0.25">
      <c r="A373" s="2" t="s">
        <v>972</v>
      </c>
      <c r="B373" s="3" t="s">
        <v>973</v>
      </c>
      <c r="C373" s="3" t="s">
        <v>974</v>
      </c>
      <c r="D373" s="4" t="s">
        <v>7</v>
      </c>
    </row>
    <row r="374" spans="1:4" x14ac:dyDescent="0.25">
      <c r="A374" s="5" t="s">
        <v>975</v>
      </c>
      <c r="B374" s="6" t="s">
        <v>976</v>
      </c>
      <c r="C374" s="6" t="s">
        <v>977</v>
      </c>
      <c r="D374" s="7" t="s">
        <v>7</v>
      </c>
    </row>
    <row r="375" spans="1:4" x14ac:dyDescent="0.25">
      <c r="A375" s="2" t="s">
        <v>978</v>
      </c>
      <c r="B375" s="3" t="s">
        <v>979</v>
      </c>
      <c r="C375" s="3" t="s">
        <v>980</v>
      </c>
      <c r="D375" s="4" t="s">
        <v>7</v>
      </c>
    </row>
    <row r="376" spans="1:4" x14ac:dyDescent="0.25">
      <c r="A376" s="5" t="s">
        <v>981</v>
      </c>
      <c r="B376" s="6" t="s">
        <v>982</v>
      </c>
      <c r="C376" s="6" t="s">
        <v>982</v>
      </c>
      <c r="D376" s="7" t="s">
        <v>22</v>
      </c>
    </row>
    <row r="377" spans="1:4" x14ac:dyDescent="0.25">
      <c r="A377" s="2" t="s">
        <v>983</v>
      </c>
      <c r="B377" s="3" t="s">
        <v>984</v>
      </c>
      <c r="C377" s="3" t="s">
        <v>982</v>
      </c>
      <c r="D377" s="4" t="s">
        <v>7</v>
      </c>
    </row>
    <row r="378" spans="1:4" x14ac:dyDescent="0.25">
      <c r="A378" s="5" t="s">
        <v>985</v>
      </c>
      <c r="B378" s="6" t="s">
        <v>986</v>
      </c>
      <c r="C378" s="6" t="s">
        <v>987</v>
      </c>
      <c r="D378" s="7" t="s">
        <v>7</v>
      </c>
    </row>
    <row r="379" spans="1:4" x14ac:dyDescent="0.25">
      <c r="A379" s="2" t="s">
        <v>988</v>
      </c>
      <c r="B379" s="3" t="s">
        <v>989</v>
      </c>
      <c r="C379" s="3" t="s">
        <v>990</v>
      </c>
      <c r="D379" s="4" t="s">
        <v>7</v>
      </c>
    </row>
    <row r="380" spans="1:4" x14ac:dyDescent="0.25">
      <c r="A380" s="5" t="s">
        <v>991</v>
      </c>
      <c r="B380" s="6" t="s">
        <v>992</v>
      </c>
      <c r="C380" s="6" t="s">
        <v>993</v>
      </c>
      <c r="D380" s="7" t="s">
        <v>7</v>
      </c>
    </row>
    <row r="381" spans="1:4" x14ac:dyDescent="0.25">
      <c r="A381" s="2" t="s">
        <v>994</v>
      </c>
      <c r="B381" s="3" t="s">
        <v>995</v>
      </c>
      <c r="C381" s="3" t="s">
        <v>996</v>
      </c>
      <c r="D381" s="4" t="s">
        <v>7</v>
      </c>
    </row>
    <row r="382" spans="1:4" x14ac:dyDescent="0.25">
      <c r="A382" s="5" t="s">
        <v>997</v>
      </c>
      <c r="B382" s="6" t="s">
        <v>998</v>
      </c>
      <c r="C382" s="6" t="s">
        <v>999</v>
      </c>
      <c r="D382" s="7" t="s">
        <v>7</v>
      </c>
    </row>
    <row r="383" spans="1:4" x14ac:dyDescent="0.25">
      <c r="A383" s="2" t="s">
        <v>1000</v>
      </c>
      <c r="B383" s="3" t="s">
        <v>1001</v>
      </c>
      <c r="C383" s="3" t="s">
        <v>1002</v>
      </c>
      <c r="D383" s="4" t="s">
        <v>7</v>
      </c>
    </row>
    <row r="384" spans="1:4" x14ac:dyDescent="0.25">
      <c r="A384" s="5" t="s">
        <v>1003</v>
      </c>
      <c r="B384" s="6" t="s">
        <v>1004</v>
      </c>
      <c r="C384" s="6" t="s">
        <v>1004</v>
      </c>
      <c r="D384" s="7" t="s">
        <v>22</v>
      </c>
    </row>
    <row r="385" spans="1:4" x14ac:dyDescent="0.25">
      <c r="A385" s="2" t="s">
        <v>1005</v>
      </c>
      <c r="B385" s="3" t="s">
        <v>1006</v>
      </c>
      <c r="C385" s="3" t="s">
        <v>1004</v>
      </c>
      <c r="D385" s="4" t="s">
        <v>7</v>
      </c>
    </row>
    <row r="386" spans="1:4" x14ac:dyDescent="0.25">
      <c r="A386" s="5" t="s">
        <v>1007</v>
      </c>
      <c r="B386" s="6" t="s">
        <v>1008</v>
      </c>
      <c r="C386" s="6" t="s">
        <v>1009</v>
      </c>
      <c r="D386" s="7" t="s">
        <v>7</v>
      </c>
    </row>
    <row r="387" spans="1:4" x14ac:dyDescent="0.25">
      <c r="A387" s="2" t="s">
        <v>1010</v>
      </c>
      <c r="B387" s="3" t="s">
        <v>1011</v>
      </c>
      <c r="C387" s="3" t="s">
        <v>1012</v>
      </c>
      <c r="D387" s="4" t="s">
        <v>7</v>
      </c>
    </row>
    <row r="388" spans="1:4" x14ac:dyDescent="0.25">
      <c r="A388" s="5" t="s">
        <v>1013</v>
      </c>
      <c r="B388" s="6" t="s">
        <v>1014</v>
      </c>
      <c r="C388" s="6" t="s">
        <v>1015</v>
      </c>
      <c r="D388" s="7" t="s">
        <v>7</v>
      </c>
    </row>
    <row r="389" spans="1:4" x14ac:dyDescent="0.25">
      <c r="A389" s="2" t="s">
        <v>1016</v>
      </c>
      <c r="B389" s="3" t="s">
        <v>1017</v>
      </c>
      <c r="C389" s="3" t="s">
        <v>1018</v>
      </c>
      <c r="D389" s="4" t="s">
        <v>7</v>
      </c>
    </row>
    <row r="390" spans="1:4" x14ac:dyDescent="0.25">
      <c r="A390" s="5" t="s">
        <v>1019</v>
      </c>
      <c r="B390" s="6" t="s">
        <v>1020</v>
      </c>
      <c r="C390" s="6" t="s">
        <v>1021</v>
      </c>
      <c r="D390" s="7" t="s">
        <v>7</v>
      </c>
    </row>
    <row r="391" spans="1:4" x14ac:dyDescent="0.25">
      <c r="A391" s="2" t="s">
        <v>1022</v>
      </c>
      <c r="B391" s="3" t="s">
        <v>1023</v>
      </c>
      <c r="C391" s="3" t="s">
        <v>1023</v>
      </c>
      <c r="D391" s="4" t="s">
        <v>22</v>
      </c>
    </row>
    <row r="392" spans="1:4" x14ac:dyDescent="0.25">
      <c r="A392" s="5" t="s">
        <v>1024</v>
      </c>
      <c r="B392" s="6" t="s">
        <v>1025</v>
      </c>
      <c r="C392" s="6" t="s">
        <v>1026</v>
      </c>
      <c r="D392" s="7" t="s">
        <v>7</v>
      </c>
    </row>
    <row r="393" spans="1:4" x14ac:dyDescent="0.25">
      <c r="A393" s="2" t="s">
        <v>1027</v>
      </c>
      <c r="B393" s="3" t="s">
        <v>1028</v>
      </c>
      <c r="C393" s="3" t="s">
        <v>1029</v>
      </c>
      <c r="D393" s="4" t="s">
        <v>7</v>
      </c>
    </row>
    <row r="394" spans="1:4" x14ac:dyDescent="0.25">
      <c r="A394" s="5" t="s">
        <v>1030</v>
      </c>
      <c r="B394" s="6" t="s">
        <v>1031</v>
      </c>
      <c r="C394" s="6" t="s">
        <v>1032</v>
      </c>
      <c r="D394" s="7" t="s">
        <v>7</v>
      </c>
    </row>
    <row r="395" spans="1:4" x14ac:dyDescent="0.25">
      <c r="A395" s="2" t="s">
        <v>1033</v>
      </c>
      <c r="B395" s="3" t="s">
        <v>1032</v>
      </c>
      <c r="C395" s="3" t="s">
        <v>1032</v>
      </c>
      <c r="D395" s="4" t="s">
        <v>22</v>
      </c>
    </row>
    <row r="396" spans="1:4" x14ac:dyDescent="0.25">
      <c r="A396" s="5" t="s">
        <v>1034</v>
      </c>
      <c r="B396" s="6" t="s">
        <v>1035</v>
      </c>
      <c r="C396" s="6" t="s">
        <v>1036</v>
      </c>
      <c r="D396" s="7" t="s">
        <v>7</v>
      </c>
    </row>
    <row r="397" spans="1:4" x14ac:dyDescent="0.25">
      <c r="A397" s="2" t="s">
        <v>1037</v>
      </c>
      <c r="B397" s="3" t="s">
        <v>1038</v>
      </c>
      <c r="C397" s="3" t="s">
        <v>1039</v>
      </c>
      <c r="D397" s="4" t="s">
        <v>7</v>
      </c>
    </row>
    <row r="398" spans="1:4" x14ac:dyDescent="0.25">
      <c r="A398" s="5" t="s">
        <v>1040</v>
      </c>
      <c r="B398" s="6" t="s">
        <v>1041</v>
      </c>
      <c r="C398" s="6" t="s">
        <v>1042</v>
      </c>
      <c r="D398" s="7" t="s">
        <v>7</v>
      </c>
    </row>
    <row r="399" spans="1:4" x14ac:dyDescent="0.25">
      <c r="A399" s="2" t="s">
        <v>1043</v>
      </c>
      <c r="B399" s="3" t="s">
        <v>1044</v>
      </c>
      <c r="C399" s="3" t="s">
        <v>1045</v>
      </c>
      <c r="D399" s="4" t="s">
        <v>7</v>
      </c>
    </row>
    <row r="400" spans="1:4" x14ac:dyDescent="0.25">
      <c r="A400" s="5" t="s">
        <v>1046</v>
      </c>
      <c r="B400" s="6" t="s">
        <v>1047</v>
      </c>
      <c r="C400" s="6" t="s">
        <v>1048</v>
      </c>
      <c r="D400" s="7" t="s">
        <v>7</v>
      </c>
    </row>
    <row r="401" spans="1:4" x14ac:dyDescent="0.25">
      <c r="A401" s="2" t="s">
        <v>1049</v>
      </c>
      <c r="B401" s="3" t="s">
        <v>1050</v>
      </c>
      <c r="C401" s="3" t="s">
        <v>1050</v>
      </c>
      <c r="D401" s="4" t="s">
        <v>22</v>
      </c>
    </row>
    <row r="402" spans="1:4" x14ac:dyDescent="0.25">
      <c r="A402" s="5" t="s">
        <v>1051</v>
      </c>
      <c r="B402" s="6" t="s">
        <v>1052</v>
      </c>
      <c r="C402" s="6" t="s">
        <v>1050</v>
      </c>
      <c r="D402" s="7" t="s">
        <v>7</v>
      </c>
    </row>
    <row r="403" spans="1:4" x14ac:dyDescent="0.25">
      <c r="A403" s="2" t="s">
        <v>1053</v>
      </c>
      <c r="B403" s="3" t="s">
        <v>1054</v>
      </c>
      <c r="C403" s="3" t="s">
        <v>1055</v>
      </c>
      <c r="D403" s="4" t="s">
        <v>7</v>
      </c>
    </row>
    <row r="404" spans="1:4" x14ac:dyDescent="0.25">
      <c r="A404" s="5" t="s">
        <v>1056</v>
      </c>
      <c r="B404" s="6" t="s">
        <v>1057</v>
      </c>
      <c r="C404" s="6" t="s">
        <v>1058</v>
      </c>
      <c r="D404" s="7" t="s">
        <v>7</v>
      </c>
    </row>
    <row r="405" spans="1:4" x14ac:dyDescent="0.25">
      <c r="A405" s="2" t="s">
        <v>1059</v>
      </c>
      <c r="B405" s="3" t="s">
        <v>1060</v>
      </c>
      <c r="C405" s="3" t="s">
        <v>1061</v>
      </c>
      <c r="D405" s="4" t="s">
        <v>7</v>
      </c>
    </row>
    <row r="406" spans="1:4" x14ac:dyDescent="0.25">
      <c r="A406" s="5" t="s">
        <v>1062</v>
      </c>
      <c r="B406" s="6" t="s">
        <v>1063</v>
      </c>
      <c r="C406" s="6" t="s">
        <v>1063</v>
      </c>
      <c r="D406" s="7" t="s">
        <v>22</v>
      </c>
    </row>
    <row r="407" spans="1:4" x14ac:dyDescent="0.25">
      <c r="A407" s="2" t="s">
        <v>1064</v>
      </c>
      <c r="B407" s="3" t="s">
        <v>1065</v>
      </c>
      <c r="C407" s="3" t="s">
        <v>1066</v>
      </c>
      <c r="D407" s="4" t="s">
        <v>7</v>
      </c>
    </row>
    <row r="408" spans="1:4" x14ac:dyDescent="0.25">
      <c r="A408" s="5" t="s">
        <v>1067</v>
      </c>
      <c r="B408" s="6" t="s">
        <v>1068</v>
      </c>
      <c r="C408" s="6" t="s">
        <v>1069</v>
      </c>
      <c r="D408" s="7" t="s">
        <v>7</v>
      </c>
    </row>
    <row r="409" spans="1:4" x14ac:dyDescent="0.25">
      <c r="A409" s="2" t="s">
        <v>1070</v>
      </c>
      <c r="B409" s="3" t="s">
        <v>1071</v>
      </c>
      <c r="C409" s="3" t="s">
        <v>1072</v>
      </c>
      <c r="D409" s="4" t="s">
        <v>7</v>
      </c>
    </row>
    <row r="410" spans="1:4" x14ac:dyDescent="0.25">
      <c r="A410" s="5" t="s">
        <v>1073</v>
      </c>
      <c r="B410" s="6" t="s">
        <v>1074</v>
      </c>
      <c r="C410" s="6" t="s">
        <v>1075</v>
      </c>
      <c r="D410" s="7" t="s">
        <v>7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7922-8BA9-4758-8DBC-1AE57E4EEDE5}">
  <dimension ref="A1:R410"/>
  <sheetViews>
    <sheetView topLeftCell="D1" zoomScaleNormal="100" workbookViewId="0">
      <selection activeCell="Q5" sqref="Q5:Q18"/>
    </sheetView>
  </sheetViews>
  <sheetFormatPr defaultRowHeight="15" x14ac:dyDescent="0.25"/>
  <cols>
    <col min="1" max="1" width="8.28515625" bestFit="1" customWidth="1"/>
    <col min="2" max="3" width="22.85546875" bestFit="1" customWidth="1"/>
    <col min="4" max="4" width="6.42578125" bestFit="1" customWidth="1"/>
    <col min="6" max="6" width="11" bestFit="1" customWidth="1"/>
    <col min="7" max="7" width="6.42578125" bestFit="1" customWidth="1"/>
    <col min="8" max="8" width="7.5703125" bestFit="1" customWidth="1"/>
    <col min="9" max="9" width="15" bestFit="1" customWidth="1"/>
    <col min="10" max="10" width="6.7109375" bestFit="1" customWidth="1"/>
    <col min="11" max="11" width="16.28515625" customWidth="1"/>
    <col min="12" max="12" width="11" bestFit="1" customWidth="1"/>
    <col min="13" max="13" width="9" customWidth="1"/>
    <col min="14" max="14" width="11" bestFit="1" customWidth="1"/>
    <col min="15" max="15" width="21.42578125" bestFit="1" customWidth="1"/>
    <col min="17" max="17" width="17.7109375" bestFit="1" customWidth="1"/>
    <col min="18" max="18" width="13" bestFit="1" customWidth="1"/>
    <col min="19" max="26" width="6" bestFit="1" customWidth="1"/>
    <col min="27" max="27" width="5.5703125" bestFit="1" customWidth="1"/>
    <col min="28" max="28" width="6.28515625" bestFit="1" customWidth="1"/>
    <col min="29" max="30" width="6.140625" bestFit="1" customWidth="1"/>
    <col min="31" max="31" width="6" bestFit="1" customWidth="1"/>
    <col min="32" max="32" width="14.28515625" bestFit="1" customWidth="1"/>
  </cols>
  <sheetData>
    <row r="1" spans="1:18" x14ac:dyDescent="0.25">
      <c r="A1" s="2" t="s">
        <v>0</v>
      </c>
      <c r="B1" s="3" t="s">
        <v>1</v>
      </c>
      <c r="C1" s="3" t="s">
        <v>2</v>
      </c>
      <c r="D1" s="4" t="s">
        <v>3</v>
      </c>
      <c r="F1" t="s">
        <v>1076</v>
      </c>
      <c r="G1" t="s">
        <v>0</v>
      </c>
      <c r="H1" t="s">
        <v>1077</v>
      </c>
      <c r="I1" t="s">
        <v>1078</v>
      </c>
      <c r="J1" t="s">
        <v>1079</v>
      </c>
      <c r="K1" t="s">
        <v>1486</v>
      </c>
      <c r="L1" t="s">
        <v>1487</v>
      </c>
      <c r="N1" t="s">
        <v>1076</v>
      </c>
      <c r="O1" t="s">
        <v>1419</v>
      </c>
      <c r="Q1" s="8" t="s">
        <v>1487</v>
      </c>
      <c r="R1" s="9">
        <v>1</v>
      </c>
    </row>
    <row r="2" spans="1:18" x14ac:dyDescent="0.25">
      <c r="A2" s="5" t="s">
        <v>4</v>
      </c>
      <c r="B2" s="6" t="s">
        <v>5</v>
      </c>
      <c r="C2" s="6" t="s">
        <v>6</v>
      </c>
      <c r="D2" s="7" t="s">
        <v>7</v>
      </c>
      <c r="F2">
        <v>6727559092</v>
      </c>
      <c r="G2" s="1" t="s">
        <v>869</v>
      </c>
      <c r="H2" s="1" t="s">
        <v>1080</v>
      </c>
      <c r="I2" s="1" t="s">
        <v>1081</v>
      </c>
      <c r="J2">
        <v>1240</v>
      </c>
      <c r="K2" s="1" t="str">
        <f>_xlfn.CONCAT(uslugi49[[#This Row],[ozn]:[nr]])</f>
        <v>KTA323W</v>
      </c>
      <c r="L2" s="1">
        <f>IF(VLOOKUP(uslugi49[[#This Row],[NIP]],nip_firm610[],2,FALSE)="BARTEX",1,0)</f>
        <v>0</v>
      </c>
      <c r="N2">
        <v>2394072755</v>
      </c>
      <c r="O2" s="1" t="s">
        <v>1420</v>
      </c>
      <c r="Q2" s="8" t="s">
        <v>1077</v>
      </c>
      <c r="R2" t="s">
        <v>1502</v>
      </c>
    </row>
    <row r="3" spans="1:18" x14ac:dyDescent="0.25">
      <c r="A3" s="2" t="s">
        <v>8</v>
      </c>
      <c r="B3" s="3" t="s">
        <v>9</v>
      </c>
      <c r="C3" s="3" t="s">
        <v>10</v>
      </c>
      <c r="D3" s="4" t="s">
        <v>7</v>
      </c>
      <c r="F3">
        <v>3866883575</v>
      </c>
      <c r="G3" s="1" t="s">
        <v>434</v>
      </c>
      <c r="H3" s="1" t="s">
        <v>1082</v>
      </c>
      <c r="I3" s="1" t="s">
        <v>1081</v>
      </c>
      <c r="J3">
        <v>3022</v>
      </c>
      <c r="K3" s="1" t="str">
        <f>_xlfn.CONCAT(uslugi49[[#This Row],[ozn]:[nr]])</f>
        <v>LU16794</v>
      </c>
      <c r="L3" s="1">
        <f>IF(VLOOKUP(uslugi49[[#This Row],[NIP]],nip_firm610[],2,FALSE)="BARTEX",1,0)</f>
        <v>0</v>
      </c>
      <c r="N3">
        <v>1599095267</v>
      </c>
      <c r="O3" s="1" t="s">
        <v>1421</v>
      </c>
    </row>
    <row r="4" spans="1:18" x14ac:dyDescent="0.25">
      <c r="A4" s="5" t="s">
        <v>11</v>
      </c>
      <c r="B4" s="6" t="s">
        <v>12</v>
      </c>
      <c r="C4" s="6" t="s">
        <v>13</v>
      </c>
      <c r="D4" s="7" t="s">
        <v>7</v>
      </c>
      <c r="F4">
        <v>1165493421</v>
      </c>
      <c r="G4" s="1" t="s">
        <v>14</v>
      </c>
      <c r="H4" s="1" t="s">
        <v>1083</v>
      </c>
      <c r="I4" s="1" t="s">
        <v>1081</v>
      </c>
      <c r="J4">
        <v>1770</v>
      </c>
      <c r="K4" s="1" t="str">
        <f>_xlfn.CONCAT(uslugi49[[#This Row],[ozn]:[nr]])</f>
        <v>SBELL545</v>
      </c>
      <c r="L4" s="1">
        <f>IF(VLOOKUP(uslugi49[[#This Row],[NIP]],nip_firm610[],2,FALSE)="BARTEX",1,0)</f>
        <v>0</v>
      </c>
      <c r="N4">
        <v>5341884086</v>
      </c>
      <c r="O4" s="1" t="s">
        <v>1422</v>
      </c>
      <c r="Q4" s="8" t="s">
        <v>1480</v>
      </c>
    </row>
    <row r="5" spans="1:18" x14ac:dyDescent="0.25">
      <c r="A5" s="2" t="s">
        <v>14</v>
      </c>
      <c r="B5" s="3" t="s">
        <v>15</v>
      </c>
      <c r="C5" s="3" t="s">
        <v>16</v>
      </c>
      <c r="D5" s="4" t="s">
        <v>7</v>
      </c>
      <c r="F5">
        <v>2138598159</v>
      </c>
      <c r="G5" s="1" t="s">
        <v>143</v>
      </c>
      <c r="H5" s="1" t="s">
        <v>1084</v>
      </c>
      <c r="I5" s="1" t="s">
        <v>1081</v>
      </c>
      <c r="J5">
        <v>2272</v>
      </c>
      <c r="K5" s="1" t="str">
        <f>_xlfn.CONCAT(uslugi49[[#This Row],[ozn]:[nr]])</f>
        <v>NELL584</v>
      </c>
      <c r="L5" s="1">
        <f>IF(VLOOKUP(uslugi49[[#This Row],[NIP]],nip_firm610[],2,FALSE)="BARTEX",1,0)</f>
        <v>0</v>
      </c>
      <c r="N5">
        <v>1818291355</v>
      </c>
      <c r="O5" s="1" t="s">
        <v>1423</v>
      </c>
      <c r="Q5" s="11" t="s">
        <v>1501</v>
      </c>
    </row>
    <row r="6" spans="1:18" x14ac:dyDescent="0.25">
      <c r="A6" s="5" t="s">
        <v>17</v>
      </c>
      <c r="B6" s="6" t="s">
        <v>18</v>
      </c>
      <c r="C6" s="6" t="s">
        <v>19</v>
      </c>
      <c r="D6" s="7" t="s">
        <v>7</v>
      </c>
      <c r="F6">
        <v>1617995032</v>
      </c>
      <c r="G6" s="1" t="s">
        <v>892</v>
      </c>
      <c r="H6" s="1" t="s">
        <v>1085</v>
      </c>
      <c r="I6" s="1" t="s">
        <v>1081</v>
      </c>
      <c r="J6">
        <v>2253</v>
      </c>
      <c r="K6" s="1" t="str">
        <f>_xlfn.CONCAT(uslugi49[[#This Row],[ozn]:[nr]])</f>
        <v>PTU6R13</v>
      </c>
      <c r="L6" s="1">
        <f>IF(VLOOKUP(uslugi49[[#This Row],[NIP]],nip_firm610[],2,FALSE)="BARTEX",1,0)</f>
        <v>0</v>
      </c>
      <c r="N6">
        <v>1361555378</v>
      </c>
      <c r="O6" s="1" t="s">
        <v>1424</v>
      </c>
      <c r="Q6" s="11" t="s">
        <v>1500</v>
      </c>
    </row>
    <row r="7" spans="1:18" x14ac:dyDescent="0.25">
      <c r="A7" s="2" t="s">
        <v>20</v>
      </c>
      <c r="B7" s="3" t="s">
        <v>21</v>
      </c>
      <c r="C7" s="3" t="s">
        <v>21</v>
      </c>
      <c r="D7" s="4" t="s">
        <v>22</v>
      </c>
      <c r="F7">
        <v>2625657803</v>
      </c>
      <c r="G7" s="1" t="s">
        <v>14</v>
      </c>
      <c r="H7" s="1" t="s">
        <v>1086</v>
      </c>
      <c r="I7" s="1" t="s">
        <v>1087</v>
      </c>
      <c r="J7">
        <v>2349</v>
      </c>
      <c r="K7" s="1" t="str">
        <f>_xlfn.CONCAT(uslugi49[[#This Row],[ozn]:[nr]])</f>
        <v>SBEU48HH</v>
      </c>
      <c r="L7" s="1">
        <f>IF(VLOOKUP(uslugi49[[#This Row],[NIP]],nip_firm610[],2,FALSE)="BARTEX",1,0)</f>
        <v>0</v>
      </c>
      <c r="N7">
        <v>2869229213</v>
      </c>
      <c r="O7" s="1" t="s">
        <v>1425</v>
      </c>
      <c r="Q7" s="11" t="s">
        <v>1499</v>
      </c>
    </row>
    <row r="8" spans="1:18" x14ac:dyDescent="0.25">
      <c r="A8" s="5" t="s">
        <v>23</v>
      </c>
      <c r="B8" s="6" t="s">
        <v>24</v>
      </c>
      <c r="C8" s="6" t="s">
        <v>25</v>
      </c>
      <c r="D8" s="7" t="s">
        <v>7</v>
      </c>
      <c r="F8">
        <v>6758177505</v>
      </c>
      <c r="G8" s="1" t="s">
        <v>869</v>
      </c>
      <c r="H8" s="1" t="s">
        <v>1088</v>
      </c>
      <c r="I8" s="1" t="s">
        <v>1087</v>
      </c>
      <c r="J8">
        <v>2154</v>
      </c>
      <c r="K8" s="1" t="str">
        <f>_xlfn.CONCAT(uslugi49[[#This Row],[ozn]:[nr]])</f>
        <v>KTA468L</v>
      </c>
      <c r="L8" s="1">
        <f>IF(VLOOKUP(uslugi49[[#This Row],[NIP]],nip_firm610[],2,FALSE)="BARTEX",1,0)</f>
        <v>0</v>
      </c>
      <c r="N8">
        <v>5528435390</v>
      </c>
      <c r="O8" s="1" t="s">
        <v>1426</v>
      </c>
      <c r="Q8" s="11" t="s">
        <v>1498</v>
      </c>
    </row>
    <row r="9" spans="1:18" x14ac:dyDescent="0.25">
      <c r="A9" s="2" t="s">
        <v>26</v>
      </c>
      <c r="B9" s="3" t="s">
        <v>27</v>
      </c>
      <c r="C9" s="3" t="s">
        <v>28</v>
      </c>
      <c r="D9" s="4" t="s">
        <v>7</v>
      </c>
      <c r="F9">
        <v>4531538788</v>
      </c>
      <c r="G9" s="1" t="s">
        <v>14</v>
      </c>
      <c r="H9" s="1" t="s">
        <v>1089</v>
      </c>
      <c r="I9" s="1" t="s">
        <v>1081</v>
      </c>
      <c r="J9">
        <v>2385</v>
      </c>
      <c r="K9" s="1" t="str">
        <f>_xlfn.CONCAT(uslugi49[[#This Row],[ozn]:[nr]])</f>
        <v>SBETE554</v>
      </c>
      <c r="L9" s="1">
        <f>IF(VLOOKUP(uslugi49[[#This Row],[NIP]],nip_firm610[],2,FALSE)="BARTEX",1,0)</f>
        <v>0</v>
      </c>
      <c r="N9">
        <v>2625657803</v>
      </c>
      <c r="O9" s="1" t="s">
        <v>1427</v>
      </c>
      <c r="Q9" s="11" t="s">
        <v>1497</v>
      </c>
    </row>
    <row r="10" spans="1:18" x14ac:dyDescent="0.25">
      <c r="A10" s="5" t="s">
        <v>29</v>
      </c>
      <c r="B10" s="6" t="s">
        <v>30</v>
      </c>
      <c r="C10" s="6" t="s">
        <v>31</v>
      </c>
      <c r="D10" s="7" t="s">
        <v>7</v>
      </c>
      <c r="F10">
        <v>2138598159</v>
      </c>
      <c r="G10" s="1" t="s">
        <v>143</v>
      </c>
      <c r="H10" s="1" t="s">
        <v>1090</v>
      </c>
      <c r="I10" s="1" t="s">
        <v>1087</v>
      </c>
      <c r="J10">
        <v>2370</v>
      </c>
      <c r="K10" s="1" t="str">
        <f>_xlfn.CONCAT(uslugi49[[#This Row],[ozn]:[nr]])</f>
        <v>NELO586</v>
      </c>
      <c r="L10" s="1">
        <f>IF(VLOOKUP(uslugi49[[#This Row],[NIP]],nip_firm610[],2,FALSE)="BARTEX",1,0)</f>
        <v>0</v>
      </c>
      <c r="N10">
        <v>1871447797</v>
      </c>
      <c r="O10" s="1" t="s">
        <v>1428</v>
      </c>
      <c r="Q10" s="11" t="s">
        <v>1496</v>
      </c>
    </row>
    <row r="11" spans="1:18" x14ac:dyDescent="0.25">
      <c r="A11" s="2" t="s">
        <v>32</v>
      </c>
      <c r="B11" s="3" t="s">
        <v>33</v>
      </c>
      <c r="C11" s="3" t="s">
        <v>21</v>
      </c>
      <c r="D11" s="4" t="s">
        <v>7</v>
      </c>
      <c r="F11">
        <v>1818291355</v>
      </c>
      <c r="G11" s="1" t="s">
        <v>14</v>
      </c>
      <c r="H11" s="1" t="s">
        <v>1091</v>
      </c>
      <c r="I11" s="1" t="s">
        <v>1081</v>
      </c>
      <c r="J11">
        <v>1862</v>
      </c>
      <c r="K11" s="1" t="str">
        <f>_xlfn.CONCAT(uslugi49[[#This Row],[ozn]:[nr]])</f>
        <v>SBEZ67OX</v>
      </c>
      <c r="L11" s="1">
        <f>IF(VLOOKUP(uslugi49[[#This Row],[NIP]],nip_firm610[],2,FALSE)="BARTEX",1,0)</f>
        <v>0</v>
      </c>
      <c r="N11">
        <v>4241680809</v>
      </c>
      <c r="O11" s="1" t="s">
        <v>1429</v>
      </c>
      <c r="Q11" s="11" t="s">
        <v>1495</v>
      </c>
    </row>
    <row r="12" spans="1:18" x14ac:dyDescent="0.25">
      <c r="A12" s="5" t="s">
        <v>34</v>
      </c>
      <c r="B12" s="6" t="s">
        <v>31</v>
      </c>
      <c r="C12" s="6" t="s">
        <v>31</v>
      </c>
      <c r="D12" s="7" t="s">
        <v>22</v>
      </c>
      <c r="F12">
        <v>2599394621</v>
      </c>
      <c r="G12" s="1" t="s">
        <v>14</v>
      </c>
      <c r="H12" s="1" t="s">
        <v>1092</v>
      </c>
      <c r="I12" s="1" t="s">
        <v>1087</v>
      </c>
      <c r="J12">
        <v>2508</v>
      </c>
      <c r="K12" s="1" t="str">
        <f>_xlfn.CONCAT(uslugi49[[#This Row],[ozn]:[nr]])</f>
        <v>SBECD551</v>
      </c>
      <c r="L12" s="1">
        <f>IF(VLOOKUP(uslugi49[[#This Row],[NIP]],nip_firm610[],2,FALSE)="BARTEX",1,0)</f>
        <v>0</v>
      </c>
      <c r="N12">
        <v>3318203338</v>
      </c>
      <c r="O12" s="1" t="s">
        <v>1430</v>
      </c>
      <c r="Q12" s="11" t="s">
        <v>1494</v>
      </c>
    </row>
    <row r="13" spans="1:18" x14ac:dyDescent="0.25">
      <c r="A13" s="2" t="s">
        <v>35</v>
      </c>
      <c r="B13" s="3" t="s">
        <v>36</v>
      </c>
      <c r="C13" s="3" t="s">
        <v>37</v>
      </c>
      <c r="D13" s="4" t="s">
        <v>7</v>
      </c>
      <c r="F13">
        <v>4653095092</v>
      </c>
      <c r="G13" s="1" t="s">
        <v>527</v>
      </c>
      <c r="H13" s="1" t="s">
        <v>1093</v>
      </c>
      <c r="I13" s="1" t="s">
        <v>1081</v>
      </c>
      <c r="J13">
        <v>2502</v>
      </c>
      <c r="K13" s="1" t="str">
        <f>_xlfn.CONCAT(uslugi49[[#This Row],[ozn]:[nr]])</f>
        <v>ONY1234</v>
      </c>
      <c r="L13" s="1">
        <f>IF(VLOOKUP(uslugi49[[#This Row],[NIP]],nip_firm610[],2,FALSE)="BARTEX",1,0)</f>
        <v>0</v>
      </c>
      <c r="N13">
        <v>1524870307</v>
      </c>
      <c r="O13" s="1" t="s">
        <v>1431</v>
      </c>
      <c r="Q13" s="11" t="s">
        <v>1493</v>
      </c>
    </row>
    <row r="14" spans="1:18" x14ac:dyDescent="0.25">
      <c r="A14" s="5" t="s">
        <v>38</v>
      </c>
      <c r="B14" s="6" t="s">
        <v>36</v>
      </c>
      <c r="C14" s="6" t="s">
        <v>39</v>
      </c>
      <c r="D14" s="7" t="s">
        <v>7</v>
      </c>
      <c r="F14">
        <v>5229945534</v>
      </c>
      <c r="G14" s="1" t="s">
        <v>14</v>
      </c>
      <c r="H14" s="1" t="s">
        <v>1094</v>
      </c>
      <c r="I14" s="1" t="s">
        <v>1087</v>
      </c>
      <c r="J14">
        <v>2674</v>
      </c>
      <c r="K14" s="1" t="str">
        <f>_xlfn.CONCAT(uslugi49[[#This Row],[ozn]:[nr]])</f>
        <v>SBEG38FY</v>
      </c>
      <c r="L14" s="1">
        <f>IF(VLOOKUP(uslugi49[[#This Row],[NIP]],nip_firm610[],2,FALSE)="BARTEX",1,0)</f>
        <v>0</v>
      </c>
      <c r="N14">
        <v>1581329071</v>
      </c>
      <c r="O14" s="1" t="s">
        <v>1432</v>
      </c>
      <c r="Q14" s="11" t="s">
        <v>1492</v>
      </c>
    </row>
    <row r="15" spans="1:18" x14ac:dyDescent="0.25">
      <c r="A15" s="2" t="s">
        <v>40</v>
      </c>
      <c r="B15" s="3" t="s">
        <v>39</v>
      </c>
      <c r="C15" s="3" t="s">
        <v>39</v>
      </c>
      <c r="D15" s="4" t="s">
        <v>22</v>
      </c>
      <c r="F15">
        <v>3743661247</v>
      </c>
      <c r="G15" s="1" t="s">
        <v>14</v>
      </c>
      <c r="H15" s="1" t="s">
        <v>1095</v>
      </c>
      <c r="I15" s="1" t="s">
        <v>1087</v>
      </c>
      <c r="J15">
        <v>2176</v>
      </c>
      <c r="K15" s="1" t="str">
        <f>_xlfn.CONCAT(uslugi49[[#This Row],[ozn]:[nr]])</f>
        <v>SBEZ99ZO</v>
      </c>
      <c r="L15" s="1">
        <f>IF(VLOOKUP(uslugi49[[#This Row],[NIP]],nip_firm610[],2,FALSE)="BARTEX",1,0)</f>
        <v>0</v>
      </c>
      <c r="N15">
        <v>3114182744</v>
      </c>
      <c r="O15" s="1" t="s">
        <v>1433</v>
      </c>
      <c r="Q15" s="11" t="s">
        <v>1491</v>
      </c>
    </row>
    <row r="16" spans="1:18" x14ac:dyDescent="0.25">
      <c r="A16" s="5" t="s">
        <v>41</v>
      </c>
      <c r="B16" s="6" t="s">
        <v>42</v>
      </c>
      <c r="C16" s="6" t="s">
        <v>43</v>
      </c>
      <c r="D16" s="7" t="s">
        <v>7</v>
      </c>
      <c r="F16">
        <v>4779174699</v>
      </c>
      <c r="G16" s="1" t="s">
        <v>1003</v>
      </c>
      <c r="H16" s="1" t="s">
        <v>1096</v>
      </c>
      <c r="I16" s="1" t="s">
        <v>1087</v>
      </c>
      <c r="J16">
        <v>1875</v>
      </c>
      <c r="K16" s="1" t="str">
        <f>_xlfn.CONCAT(uslugi49[[#This Row],[ozn]:[nr]])</f>
        <v>DW16852</v>
      </c>
      <c r="L16" s="1">
        <f>IF(VLOOKUP(uslugi49[[#This Row],[NIP]],nip_firm610[],2,FALSE)="BARTEX",1,0)</f>
        <v>0</v>
      </c>
      <c r="N16">
        <v>3743661247</v>
      </c>
      <c r="O16" s="1" t="s">
        <v>1434</v>
      </c>
      <c r="Q16" s="11" t="s">
        <v>1490</v>
      </c>
    </row>
    <row r="17" spans="1:17" x14ac:dyDescent="0.25">
      <c r="A17" s="2" t="s">
        <v>44</v>
      </c>
      <c r="B17" s="3" t="s">
        <v>45</v>
      </c>
      <c r="C17" s="3" t="s">
        <v>46</v>
      </c>
      <c r="D17" s="4" t="s">
        <v>7</v>
      </c>
      <c r="F17">
        <v>4715154852</v>
      </c>
      <c r="G17" s="1" t="s">
        <v>1003</v>
      </c>
      <c r="H17" s="1" t="s">
        <v>1097</v>
      </c>
      <c r="I17" s="1" t="s">
        <v>1081</v>
      </c>
      <c r="J17">
        <v>2520</v>
      </c>
      <c r="K17" s="1" t="str">
        <f>_xlfn.CONCAT(uslugi49[[#This Row],[ozn]:[nr]])</f>
        <v>DW23815</v>
      </c>
      <c r="L17" s="1">
        <f>IF(VLOOKUP(uslugi49[[#This Row],[NIP]],nip_firm610[],2,FALSE)="BARTEX",1,0)</f>
        <v>0</v>
      </c>
      <c r="N17">
        <v>5185759244</v>
      </c>
      <c r="O17" s="1" t="s">
        <v>1435</v>
      </c>
      <c r="Q17" s="11" t="s">
        <v>1489</v>
      </c>
    </row>
    <row r="18" spans="1:17" x14ac:dyDescent="0.25">
      <c r="A18" s="5" t="s">
        <v>47</v>
      </c>
      <c r="B18" s="6" t="s">
        <v>48</v>
      </c>
      <c r="C18" s="6" t="s">
        <v>49</v>
      </c>
      <c r="D18" s="7" t="s">
        <v>7</v>
      </c>
      <c r="F18">
        <v>6758177505</v>
      </c>
      <c r="G18" s="1" t="s">
        <v>869</v>
      </c>
      <c r="H18" s="1" t="s">
        <v>1098</v>
      </c>
      <c r="I18" s="1" t="s">
        <v>1081</v>
      </c>
      <c r="J18">
        <v>2984</v>
      </c>
      <c r="K18" s="1" t="str">
        <f>_xlfn.CONCAT(uslugi49[[#This Row],[ozn]:[nr]])</f>
        <v>KTA545S</v>
      </c>
      <c r="L18" s="1">
        <f>IF(VLOOKUP(uslugi49[[#This Row],[NIP]],nip_firm610[],2,FALSE)="BARTEX",1,0)</f>
        <v>0</v>
      </c>
      <c r="N18">
        <v>5229945534</v>
      </c>
      <c r="O18" s="1" t="s">
        <v>1436</v>
      </c>
      <c r="Q18" s="11" t="s">
        <v>1488</v>
      </c>
    </row>
    <row r="19" spans="1:17" x14ac:dyDescent="0.25">
      <c r="A19" s="2" t="s">
        <v>50</v>
      </c>
      <c r="B19" s="3" t="s">
        <v>51</v>
      </c>
      <c r="C19" s="3" t="s">
        <v>52</v>
      </c>
      <c r="D19" s="4" t="s">
        <v>7</v>
      </c>
      <c r="F19">
        <v>2581219876</v>
      </c>
      <c r="G19" s="1" t="s">
        <v>141</v>
      </c>
      <c r="H19" s="1" t="s">
        <v>1099</v>
      </c>
      <c r="I19" s="1" t="s">
        <v>1087</v>
      </c>
      <c r="J19">
        <v>2685</v>
      </c>
      <c r="K19" s="1" t="str">
        <f>_xlfn.CONCAT(uslugi49[[#This Row],[ozn]:[nr]])</f>
        <v>NEB92NR</v>
      </c>
      <c r="L19" s="1">
        <f>IF(VLOOKUP(uslugi49[[#This Row],[NIP]],nip_firm610[],2,FALSE)="BARTEX",1,0)</f>
        <v>0</v>
      </c>
      <c r="N19">
        <v>5266741491</v>
      </c>
      <c r="O19" s="1" t="s">
        <v>1437</v>
      </c>
      <c r="Q19" s="9" t="s">
        <v>1481</v>
      </c>
    </row>
    <row r="20" spans="1:17" x14ac:dyDescent="0.25">
      <c r="A20" s="5" t="s">
        <v>53</v>
      </c>
      <c r="B20" s="6" t="s">
        <v>54</v>
      </c>
      <c r="C20" s="6" t="s">
        <v>55</v>
      </c>
      <c r="D20" s="7" t="s">
        <v>7</v>
      </c>
      <c r="F20">
        <v>3568004264</v>
      </c>
      <c r="G20" s="1" t="s">
        <v>428</v>
      </c>
      <c r="H20" s="1" t="s">
        <v>1100</v>
      </c>
      <c r="I20" s="1" t="s">
        <v>1081</v>
      </c>
      <c r="J20">
        <v>2438</v>
      </c>
      <c r="K20" s="1" t="str">
        <f>_xlfn.CONCAT(uslugi49[[#This Row],[ozn]:[nr]])</f>
        <v>LUBQ624</v>
      </c>
      <c r="L20" s="1">
        <f>IF(VLOOKUP(uslugi49[[#This Row],[NIP]],nip_firm610[],2,FALSE)="BARTEX",1,0)</f>
        <v>0</v>
      </c>
      <c r="N20">
        <v>1246489959</v>
      </c>
      <c r="O20" s="1" t="s">
        <v>1438</v>
      </c>
    </row>
    <row r="21" spans="1:17" x14ac:dyDescent="0.25">
      <c r="A21" s="2" t="s">
        <v>56</v>
      </c>
      <c r="B21" s="3" t="s">
        <v>57</v>
      </c>
      <c r="C21" s="3" t="s">
        <v>58</v>
      </c>
      <c r="D21" s="4" t="s">
        <v>7</v>
      </c>
      <c r="F21">
        <v>6727559092</v>
      </c>
      <c r="G21" s="1" t="s">
        <v>869</v>
      </c>
      <c r="H21" s="1" t="s">
        <v>1101</v>
      </c>
      <c r="I21" s="1" t="s">
        <v>1087</v>
      </c>
      <c r="J21">
        <v>2435</v>
      </c>
      <c r="K21" s="1" t="str">
        <f>_xlfn.CONCAT(uslugi49[[#This Row],[ozn]:[nr]])</f>
        <v>KTA257G</v>
      </c>
      <c r="L21" s="1">
        <f>IF(VLOOKUP(uslugi49[[#This Row],[NIP]],nip_firm610[],2,FALSE)="BARTEX",1,0)</f>
        <v>0</v>
      </c>
      <c r="N21">
        <v>5418968184</v>
      </c>
      <c r="O21" s="1" t="s">
        <v>1439</v>
      </c>
    </row>
    <row r="22" spans="1:17" x14ac:dyDescent="0.25">
      <c r="A22" s="5" t="s">
        <v>59</v>
      </c>
      <c r="B22" s="6" t="s">
        <v>60</v>
      </c>
      <c r="C22" s="6" t="s">
        <v>61</v>
      </c>
      <c r="D22" s="7" t="s">
        <v>7</v>
      </c>
      <c r="F22">
        <v>5418968184</v>
      </c>
      <c r="G22" s="1" t="s">
        <v>14</v>
      </c>
      <c r="H22" s="1" t="s">
        <v>1102</v>
      </c>
      <c r="I22" s="1" t="s">
        <v>1081</v>
      </c>
      <c r="J22">
        <v>1806</v>
      </c>
      <c r="K22" s="1" t="str">
        <f>_xlfn.CONCAT(uslugi49[[#This Row],[ozn]:[nr]])</f>
        <v>SBEO60RV</v>
      </c>
      <c r="L22" s="1">
        <f>IF(VLOOKUP(uslugi49[[#This Row],[NIP]],nip_firm610[],2,FALSE)="BARTEX",1,0)</f>
        <v>0</v>
      </c>
      <c r="N22">
        <v>1165493421</v>
      </c>
      <c r="O22" s="1" t="s">
        <v>1440</v>
      </c>
    </row>
    <row r="23" spans="1:17" x14ac:dyDescent="0.25">
      <c r="A23" s="2" t="s">
        <v>62</v>
      </c>
      <c r="B23" s="3" t="s">
        <v>63</v>
      </c>
      <c r="C23" s="3" t="s">
        <v>64</v>
      </c>
      <c r="D23" s="4" t="s">
        <v>7</v>
      </c>
      <c r="F23">
        <v>4956781088</v>
      </c>
      <c r="G23" s="1" t="s">
        <v>184</v>
      </c>
      <c r="H23" s="1" t="s">
        <v>1103</v>
      </c>
      <c r="I23" s="1" t="s">
        <v>1087</v>
      </c>
      <c r="J23">
        <v>2156</v>
      </c>
      <c r="K23" s="1" t="str">
        <f>_xlfn.CONCAT(uslugi49[[#This Row],[ozn]:[nr]])</f>
        <v>DGRF718</v>
      </c>
      <c r="L23" s="1">
        <f>IF(VLOOKUP(uslugi49[[#This Row],[NIP]],nip_firm610[],2,FALSE)="BARTEX",1,0)</f>
        <v>0</v>
      </c>
      <c r="N23">
        <v>4580185570</v>
      </c>
      <c r="O23" s="1" t="s">
        <v>1441</v>
      </c>
    </row>
    <row r="24" spans="1:17" x14ac:dyDescent="0.25">
      <c r="A24" s="5" t="s">
        <v>65</v>
      </c>
      <c r="B24" s="6" t="s">
        <v>63</v>
      </c>
      <c r="C24" s="6" t="s">
        <v>66</v>
      </c>
      <c r="D24" s="7" t="s">
        <v>7</v>
      </c>
      <c r="F24">
        <v>5341884086</v>
      </c>
      <c r="G24" s="1" t="s">
        <v>14</v>
      </c>
      <c r="H24" s="1" t="s">
        <v>1104</v>
      </c>
      <c r="I24" s="1" t="s">
        <v>1087</v>
      </c>
      <c r="J24">
        <v>1908</v>
      </c>
      <c r="K24" s="1" t="str">
        <f>_xlfn.CONCAT(uslugi49[[#This Row],[ozn]:[nr]])</f>
        <v>SBESA138</v>
      </c>
      <c r="L24" s="1">
        <f>IF(VLOOKUP(uslugi49[[#This Row],[NIP]],nip_firm610[],2,FALSE)="BARTEX",1,0)</f>
        <v>0</v>
      </c>
      <c r="N24">
        <v>2599394621</v>
      </c>
      <c r="O24" s="1" t="s">
        <v>1442</v>
      </c>
    </row>
    <row r="25" spans="1:17" x14ac:dyDescent="0.25">
      <c r="A25" s="2" t="s">
        <v>67</v>
      </c>
      <c r="B25" s="3" t="s">
        <v>68</v>
      </c>
      <c r="C25" s="3" t="s">
        <v>69</v>
      </c>
      <c r="D25" s="4" t="s">
        <v>7</v>
      </c>
      <c r="F25">
        <v>1939065269</v>
      </c>
      <c r="G25" s="1" t="s">
        <v>636</v>
      </c>
      <c r="H25" s="1" t="s">
        <v>1105</v>
      </c>
      <c r="I25" s="1" t="s">
        <v>1087</v>
      </c>
      <c r="J25">
        <v>3156</v>
      </c>
      <c r="K25" s="1" t="str">
        <f>_xlfn.CONCAT(uslugi49[[#This Row],[ozn]:[nr]])</f>
        <v>PO16886</v>
      </c>
      <c r="L25" s="1">
        <f>IF(VLOOKUP(uslugi49[[#This Row],[NIP]],nip_firm610[],2,FALSE)="BARTEX",1,0)</f>
        <v>0</v>
      </c>
      <c r="N25">
        <v>4531538788</v>
      </c>
      <c r="O25" s="1" t="s">
        <v>1443</v>
      </c>
    </row>
    <row r="26" spans="1:17" x14ac:dyDescent="0.25">
      <c r="A26" s="5" t="s">
        <v>70</v>
      </c>
      <c r="B26" s="6" t="s">
        <v>71</v>
      </c>
      <c r="C26" s="6" t="s">
        <v>72</v>
      </c>
      <c r="D26" s="7" t="s">
        <v>7</v>
      </c>
      <c r="F26">
        <v>4715154852</v>
      </c>
      <c r="G26" s="1" t="s">
        <v>1003</v>
      </c>
      <c r="H26" s="1" t="s">
        <v>1106</v>
      </c>
      <c r="I26" s="1" t="s">
        <v>1081</v>
      </c>
      <c r="J26">
        <v>2276</v>
      </c>
      <c r="K26" s="1" t="str">
        <f>_xlfn.CONCAT(uslugi49[[#This Row],[ozn]:[nr]])</f>
        <v>DW557F</v>
      </c>
      <c r="L26" s="1">
        <f>IF(VLOOKUP(uslugi49[[#This Row],[NIP]],nip_firm610[],2,FALSE)="BARTEX",1,0)</f>
        <v>0</v>
      </c>
      <c r="N26">
        <v>4458233905</v>
      </c>
      <c r="O26" s="1" t="s">
        <v>1444</v>
      </c>
    </row>
    <row r="27" spans="1:17" x14ac:dyDescent="0.25">
      <c r="A27" s="2" t="s">
        <v>73</v>
      </c>
      <c r="B27" s="3" t="s">
        <v>74</v>
      </c>
      <c r="C27" s="3" t="s">
        <v>75</v>
      </c>
      <c r="D27" s="4" t="s">
        <v>7</v>
      </c>
      <c r="F27">
        <v>5115061689</v>
      </c>
      <c r="G27" s="1" t="s">
        <v>704</v>
      </c>
      <c r="H27" s="1" t="s">
        <v>1107</v>
      </c>
      <c r="I27" s="1" t="s">
        <v>1087</v>
      </c>
      <c r="J27">
        <v>1627</v>
      </c>
      <c r="K27" s="1" t="str">
        <f>_xlfn.CONCAT(uslugi49[[#This Row],[ozn]:[nr]])</f>
        <v>SRSD662</v>
      </c>
      <c r="L27" s="1">
        <f>IF(VLOOKUP(uslugi49[[#This Row],[NIP]],nip_firm610[],2,FALSE)="BARTEX",1,0)</f>
        <v>0</v>
      </c>
      <c r="N27">
        <v>4326751508</v>
      </c>
      <c r="O27" s="1" t="s">
        <v>1445</v>
      </c>
    </row>
    <row r="28" spans="1:17" x14ac:dyDescent="0.25">
      <c r="A28" s="5" t="s">
        <v>76</v>
      </c>
      <c r="B28" s="6" t="s">
        <v>77</v>
      </c>
      <c r="C28" s="6" t="s">
        <v>78</v>
      </c>
      <c r="D28" s="7" t="s">
        <v>7</v>
      </c>
      <c r="F28">
        <v>4326751508</v>
      </c>
      <c r="G28" s="1" t="s">
        <v>40</v>
      </c>
      <c r="H28" s="1" t="s">
        <v>1108</v>
      </c>
      <c r="I28" s="1" t="s">
        <v>1087</v>
      </c>
      <c r="J28">
        <v>2060</v>
      </c>
      <c r="K28" s="1" t="str">
        <f>_xlfn.CONCAT(uslugi49[[#This Row],[ozn]:[nr]])</f>
        <v>SB55355</v>
      </c>
      <c r="L28" s="1">
        <f>IF(VLOOKUP(uslugi49[[#This Row],[NIP]],nip_firm610[],2,FALSE)="BARTEX",1,0)</f>
        <v>0</v>
      </c>
      <c r="N28">
        <v>4761158900</v>
      </c>
      <c r="O28" s="1" t="s">
        <v>1446</v>
      </c>
    </row>
    <row r="29" spans="1:17" x14ac:dyDescent="0.25">
      <c r="A29" s="2" t="s">
        <v>79</v>
      </c>
      <c r="B29" s="3" t="s">
        <v>78</v>
      </c>
      <c r="C29" s="3" t="s">
        <v>78</v>
      </c>
      <c r="D29" s="4" t="s">
        <v>22</v>
      </c>
      <c r="F29">
        <v>1581329071</v>
      </c>
      <c r="G29" s="1" t="s">
        <v>14</v>
      </c>
      <c r="H29" s="1" t="s">
        <v>1109</v>
      </c>
      <c r="I29" s="1" t="s">
        <v>1087</v>
      </c>
      <c r="J29">
        <v>2236</v>
      </c>
      <c r="K29" s="1" t="str">
        <f>_xlfn.CONCAT(uslugi49[[#This Row],[ozn]:[nr]])</f>
        <v>SBEE93DN</v>
      </c>
      <c r="L29" s="1">
        <f>IF(VLOOKUP(uslugi49[[#This Row],[NIP]],nip_firm610[],2,FALSE)="BARTEX",1,0)</f>
        <v>0</v>
      </c>
      <c r="N29">
        <v>4653095092</v>
      </c>
      <c r="O29" s="1" t="s">
        <v>1447</v>
      </c>
    </row>
    <row r="30" spans="1:17" x14ac:dyDescent="0.25">
      <c r="A30" s="5" t="s">
        <v>80</v>
      </c>
      <c r="B30" s="6" t="s">
        <v>81</v>
      </c>
      <c r="C30" s="6" t="s">
        <v>81</v>
      </c>
      <c r="D30" s="7" t="s">
        <v>22</v>
      </c>
      <c r="F30">
        <v>4326751508</v>
      </c>
      <c r="G30" s="1" t="s">
        <v>40</v>
      </c>
      <c r="H30" s="1" t="s">
        <v>1110</v>
      </c>
      <c r="I30" s="1" t="s">
        <v>1081</v>
      </c>
      <c r="J30">
        <v>2000</v>
      </c>
      <c r="K30" s="1" t="str">
        <f>_xlfn.CONCAT(uslugi49[[#This Row],[ozn]:[nr]])</f>
        <v>SB56466</v>
      </c>
      <c r="L30" s="1">
        <f>IF(VLOOKUP(uslugi49[[#This Row],[NIP]],nip_firm610[],2,FALSE)="BARTEX",1,0)</f>
        <v>0</v>
      </c>
      <c r="N30">
        <v>3678947206</v>
      </c>
      <c r="O30" s="1" t="s">
        <v>1448</v>
      </c>
    </row>
    <row r="31" spans="1:17" x14ac:dyDescent="0.25">
      <c r="A31" s="2" t="s">
        <v>82</v>
      </c>
      <c r="B31" s="3" t="s">
        <v>83</v>
      </c>
      <c r="C31" s="3" t="s">
        <v>84</v>
      </c>
      <c r="D31" s="4" t="s">
        <v>7</v>
      </c>
      <c r="F31">
        <v>3470453173</v>
      </c>
      <c r="G31" s="1" t="s">
        <v>85</v>
      </c>
      <c r="H31" s="1" t="s">
        <v>1111</v>
      </c>
      <c r="I31" s="1" t="s">
        <v>1081</v>
      </c>
      <c r="J31">
        <v>2040</v>
      </c>
      <c r="K31" s="1" t="str">
        <f>_xlfn.CONCAT(uslugi49[[#This Row],[ozn]:[nr]])</f>
        <v>LC7895G</v>
      </c>
      <c r="L31" s="1">
        <f>IF(VLOOKUP(uslugi49[[#This Row],[NIP]],nip_firm610[],2,FALSE)="BARTEX",1,0)</f>
        <v>0</v>
      </c>
      <c r="N31">
        <v>2245871126</v>
      </c>
      <c r="O31" s="1" t="s">
        <v>1449</v>
      </c>
    </row>
    <row r="32" spans="1:17" x14ac:dyDescent="0.25">
      <c r="A32" s="5" t="s">
        <v>85</v>
      </c>
      <c r="B32" s="6" t="s">
        <v>86</v>
      </c>
      <c r="C32" s="6" t="s">
        <v>86</v>
      </c>
      <c r="D32" s="7" t="s">
        <v>22</v>
      </c>
      <c r="F32">
        <v>1433397952</v>
      </c>
      <c r="G32" s="1" t="s">
        <v>314</v>
      </c>
      <c r="H32" s="1" t="s">
        <v>1112</v>
      </c>
      <c r="I32" s="1" t="s">
        <v>1087</v>
      </c>
      <c r="J32">
        <v>2734</v>
      </c>
      <c r="K32" s="1" t="str">
        <f>_xlfn.CONCAT(uslugi49[[#This Row],[ozn]:[nr]])</f>
        <v>PN16832</v>
      </c>
      <c r="L32" s="1">
        <f>IF(VLOOKUP(uslugi49[[#This Row],[NIP]],nip_firm610[],2,FALSE)="BARTEX",1,0)</f>
        <v>1</v>
      </c>
      <c r="N32">
        <v>5459753232</v>
      </c>
      <c r="O32" s="1" t="s">
        <v>1450</v>
      </c>
    </row>
    <row r="33" spans="1:15" x14ac:dyDescent="0.25">
      <c r="A33" s="2" t="s">
        <v>87</v>
      </c>
      <c r="B33" s="3" t="s">
        <v>88</v>
      </c>
      <c r="C33" s="3" t="s">
        <v>89</v>
      </c>
      <c r="D33" s="4" t="s">
        <v>7</v>
      </c>
      <c r="F33">
        <v>3783578981</v>
      </c>
      <c r="G33" s="1" t="s">
        <v>405</v>
      </c>
      <c r="H33" s="1" t="s">
        <v>1113</v>
      </c>
      <c r="I33" s="1" t="s">
        <v>1081</v>
      </c>
      <c r="J33">
        <v>1935</v>
      </c>
      <c r="K33" s="1" t="str">
        <f>_xlfn.CONCAT(uslugi49[[#This Row],[ozn]:[nr]])</f>
        <v>EL28920</v>
      </c>
      <c r="L33" s="1">
        <f>IF(VLOOKUP(uslugi49[[#This Row],[NIP]],nip_firm610[],2,FALSE)="BARTEX",1,0)</f>
        <v>0</v>
      </c>
      <c r="N33">
        <v>5514533376</v>
      </c>
      <c r="O33" s="1" t="s">
        <v>1451</v>
      </c>
    </row>
    <row r="34" spans="1:15" x14ac:dyDescent="0.25">
      <c r="A34" s="5" t="s">
        <v>90</v>
      </c>
      <c r="B34" s="6" t="s">
        <v>91</v>
      </c>
      <c r="C34" s="6" t="s">
        <v>86</v>
      </c>
      <c r="D34" s="7" t="s">
        <v>7</v>
      </c>
      <c r="F34">
        <v>2581219876</v>
      </c>
      <c r="G34" s="1" t="s">
        <v>141</v>
      </c>
      <c r="H34" s="1" t="s">
        <v>1114</v>
      </c>
      <c r="I34" s="1" t="s">
        <v>1087</v>
      </c>
      <c r="J34">
        <v>2818</v>
      </c>
      <c r="K34" s="1" t="str">
        <f>_xlfn.CONCAT(uslugi49[[#This Row],[ozn]:[nr]])</f>
        <v>NEB90HD</v>
      </c>
      <c r="L34" s="1">
        <f>IF(VLOOKUP(uslugi49[[#This Row],[NIP]],nip_firm610[],2,FALSE)="BARTEX",1,0)</f>
        <v>0</v>
      </c>
      <c r="N34">
        <v>1820566794</v>
      </c>
      <c r="O34" s="1" t="s">
        <v>1452</v>
      </c>
    </row>
    <row r="35" spans="1:15" x14ac:dyDescent="0.25">
      <c r="A35" s="2" t="s">
        <v>92</v>
      </c>
      <c r="B35" s="3" t="s">
        <v>93</v>
      </c>
      <c r="C35" s="3" t="s">
        <v>94</v>
      </c>
      <c r="D35" s="4" t="s">
        <v>7</v>
      </c>
      <c r="F35">
        <v>4796841112</v>
      </c>
      <c r="G35" s="1" t="s">
        <v>533</v>
      </c>
      <c r="H35" s="1" t="s">
        <v>1115</v>
      </c>
      <c r="I35" s="1" t="s">
        <v>1081</v>
      </c>
      <c r="J35">
        <v>2668</v>
      </c>
      <c r="K35" s="1" t="str">
        <f>_xlfn.CONCAT(uslugi49[[#This Row],[ozn]:[nr]])</f>
        <v>DOAR672</v>
      </c>
      <c r="L35" s="1">
        <f>IF(VLOOKUP(uslugi49[[#This Row],[NIP]],nip_firm610[],2,FALSE)="BARTEX",1,0)</f>
        <v>0</v>
      </c>
      <c r="N35">
        <v>3783578981</v>
      </c>
      <c r="O35" s="1" t="s">
        <v>1453</v>
      </c>
    </row>
    <row r="36" spans="1:15" x14ac:dyDescent="0.25">
      <c r="A36" s="5" t="s">
        <v>95</v>
      </c>
      <c r="B36" s="6" t="s">
        <v>96</v>
      </c>
      <c r="C36" s="6" t="s">
        <v>97</v>
      </c>
      <c r="D36" s="7" t="s">
        <v>7</v>
      </c>
      <c r="F36">
        <v>4715154852</v>
      </c>
      <c r="G36" s="1" t="s">
        <v>1003</v>
      </c>
      <c r="H36" s="1" t="s">
        <v>1116</v>
      </c>
      <c r="I36" s="1" t="s">
        <v>1087</v>
      </c>
      <c r="J36">
        <v>2700</v>
      </c>
      <c r="K36" s="1" t="str">
        <f>_xlfn.CONCAT(uslugi49[[#This Row],[ozn]:[nr]])</f>
        <v>DW23411</v>
      </c>
      <c r="L36" s="1">
        <f>IF(VLOOKUP(uslugi49[[#This Row],[NIP]],nip_firm610[],2,FALSE)="BARTEX",1,0)</f>
        <v>0</v>
      </c>
      <c r="N36">
        <v>1127056356</v>
      </c>
      <c r="O36" s="1" t="s">
        <v>1454</v>
      </c>
    </row>
    <row r="37" spans="1:15" x14ac:dyDescent="0.25">
      <c r="A37" s="2" t="s">
        <v>98</v>
      </c>
      <c r="B37" s="3" t="s">
        <v>99</v>
      </c>
      <c r="C37" s="3" t="s">
        <v>99</v>
      </c>
      <c r="D37" s="4" t="s">
        <v>22</v>
      </c>
      <c r="F37">
        <v>4241680809</v>
      </c>
      <c r="G37" s="1" t="s">
        <v>14</v>
      </c>
      <c r="H37" s="1" t="s">
        <v>1117</v>
      </c>
      <c r="I37" s="1" t="s">
        <v>1087</v>
      </c>
      <c r="J37">
        <v>2496</v>
      </c>
      <c r="K37" s="1" t="str">
        <f>_xlfn.CONCAT(uslugi49[[#This Row],[ozn]:[nr]])</f>
        <v>SBERF346</v>
      </c>
      <c r="L37" s="1">
        <f>IF(VLOOKUP(uslugi49[[#This Row],[NIP]],nip_firm610[],2,FALSE)="BARTEX",1,0)</f>
        <v>0</v>
      </c>
      <c r="N37">
        <v>1278408463</v>
      </c>
      <c r="O37" s="1" t="s">
        <v>1455</v>
      </c>
    </row>
    <row r="38" spans="1:15" x14ac:dyDescent="0.25">
      <c r="A38" s="5" t="s">
        <v>100</v>
      </c>
      <c r="B38" s="6" t="s">
        <v>101</v>
      </c>
      <c r="C38" s="6" t="s">
        <v>102</v>
      </c>
      <c r="D38" s="7" t="s">
        <v>7</v>
      </c>
      <c r="F38">
        <v>1617995032</v>
      </c>
      <c r="G38" s="1" t="s">
        <v>892</v>
      </c>
      <c r="H38" s="1" t="s">
        <v>1118</v>
      </c>
      <c r="I38" s="1" t="s">
        <v>1087</v>
      </c>
      <c r="J38">
        <v>2148</v>
      </c>
      <c r="K38" s="1" t="str">
        <f>_xlfn.CONCAT(uslugi49[[#This Row],[ozn]:[nr]])</f>
        <v>PTU54PX</v>
      </c>
      <c r="L38" s="1">
        <f>IF(VLOOKUP(uslugi49[[#This Row],[NIP]],nip_firm610[],2,FALSE)="BARTEX",1,0)</f>
        <v>0</v>
      </c>
      <c r="N38">
        <v>3866883575</v>
      </c>
      <c r="O38" s="1" t="s">
        <v>1456</v>
      </c>
    </row>
    <row r="39" spans="1:15" x14ac:dyDescent="0.25">
      <c r="A39" s="2" t="s">
        <v>103</v>
      </c>
      <c r="B39" s="3" t="s">
        <v>104</v>
      </c>
      <c r="C39" s="3" t="s">
        <v>105</v>
      </c>
      <c r="D39" s="4" t="s">
        <v>7</v>
      </c>
      <c r="F39">
        <v>1433397952</v>
      </c>
      <c r="G39" s="1" t="s">
        <v>314</v>
      </c>
      <c r="H39" s="1" t="s">
        <v>1119</v>
      </c>
      <c r="I39" s="1" t="s">
        <v>1081</v>
      </c>
      <c r="J39">
        <v>2160</v>
      </c>
      <c r="K39" s="1" t="str">
        <f>_xlfn.CONCAT(uslugi49[[#This Row],[ozn]:[nr]])</f>
        <v>PN16838</v>
      </c>
      <c r="L39" s="1">
        <f>IF(VLOOKUP(uslugi49[[#This Row],[NIP]],nip_firm610[],2,FALSE)="BARTEX",1,0)</f>
        <v>1</v>
      </c>
      <c r="N39">
        <v>2138598159</v>
      </c>
      <c r="O39" s="1" t="s">
        <v>1457</v>
      </c>
    </row>
    <row r="40" spans="1:15" x14ac:dyDescent="0.25">
      <c r="A40" s="5" t="s">
        <v>106</v>
      </c>
      <c r="B40" s="6" t="s">
        <v>107</v>
      </c>
      <c r="C40" s="6" t="s">
        <v>108</v>
      </c>
      <c r="D40" s="7" t="s">
        <v>7</v>
      </c>
      <c r="F40">
        <v>4326751508</v>
      </c>
      <c r="G40" s="1" t="s">
        <v>405</v>
      </c>
      <c r="H40" s="1" t="s">
        <v>1120</v>
      </c>
      <c r="I40" s="1" t="s">
        <v>1087</v>
      </c>
      <c r="J40">
        <v>2056</v>
      </c>
      <c r="K40" s="1" t="str">
        <f>_xlfn.CONCAT(uslugi49[[#This Row],[ozn]:[nr]])</f>
        <v>EL69798</v>
      </c>
      <c r="L40" s="1">
        <f>IF(VLOOKUP(uslugi49[[#This Row],[NIP]],nip_firm610[],2,FALSE)="BARTEX",1,0)</f>
        <v>0</v>
      </c>
      <c r="N40">
        <v>2119268767</v>
      </c>
      <c r="O40" s="1" t="s">
        <v>1458</v>
      </c>
    </row>
    <row r="41" spans="1:15" x14ac:dyDescent="0.25">
      <c r="A41" s="2" t="s">
        <v>109</v>
      </c>
      <c r="B41" s="3" t="s">
        <v>110</v>
      </c>
      <c r="C41" s="3" t="s">
        <v>111</v>
      </c>
      <c r="D41" s="4" t="s">
        <v>7</v>
      </c>
      <c r="F41">
        <v>1246489959</v>
      </c>
      <c r="G41" s="1" t="s">
        <v>14</v>
      </c>
      <c r="H41" s="1" t="s">
        <v>1121</v>
      </c>
      <c r="I41" s="1" t="s">
        <v>1087</v>
      </c>
      <c r="J41">
        <v>1812</v>
      </c>
      <c r="K41" s="1" t="str">
        <f>_xlfn.CONCAT(uslugi49[[#This Row],[ozn]:[nr]])</f>
        <v>SBEM52XG</v>
      </c>
      <c r="L41" s="1">
        <f>IF(VLOOKUP(uslugi49[[#This Row],[NIP]],nip_firm610[],2,FALSE)="BARTEX",1,0)</f>
        <v>0</v>
      </c>
      <c r="N41">
        <v>1433397952</v>
      </c>
      <c r="O41" s="1" t="s">
        <v>1459</v>
      </c>
    </row>
    <row r="42" spans="1:15" x14ac:dyDescent="0.25">
      <c r="A42" s="5" t="s">
        <v>112</v>
      </c>
      <c r="B42" s="6" t="s">
        <v>113</v>
      </c>
      <c r="C42" s="6" t="s">
        <v>114</v>
      </c>
      <c r="D42" s="7" t="s">
        <v>7</v>
      </c>
      <c r="F42">
        <v>4241680809</v>
      </c>
      <c r="G42" s="1" t="s">
        <v>14</v>
      </c>
      <c r="H42" s="1" t="s">
        <v>1122</v>
      </c>
      <c r="I42" s="1" t="s">
        <v>1087</v>
      </c>
      <c r="J42">
        <v>2664</v>
      </c>
      <c r="K42" s="1" t="str">
        <f>_xlfn.CONCAT(uslugi49[[#This Row],[ozn]:[nr]])</f>
        <v>SBERJ349</v>
      </c>
      <c r="L42" s="1">
        <f>IF(VLOOKUP(uslugi49[[#This Row],[NIP]],nip_firm610[],2,FALSE)="BARTEX",1,0)</f>
        <v>0</v>
      </c>
      <c r="N42">
        <v>3568004264</v>
      </c>
      <c r="O42" s="1" t="s">
        <v>1460</v>
      </c>
    </row>
    <row r="43" spans="1:15" x14ac:dyDescent="0.25">
      <c r="A43" s="2" t="s">
        <v>115</v>
      </c>
      <c r="B43" s="3" t="s">
        <v>116</v>
      </c>
      <c r="C43" s="3" t="s">
        <v>116</v>
      </c>
      <c r="D43" s="4" t="s">
        <v>22</v>
      </c>
      <c r="F43">
        <v>3470453173</v>
      </c>
      <c r="G43" s="1" t="s">
        <v>85</v>
      </c>
      <c r="H43" s="1" t="s">
        <v>1123</v>
      </c>
      <c r="I43" s="1" t="s">
        <v>1087</v>
      </c>
      <c r="J43">
        <v>2872</v>
      </c>
      <c r="K43" s="1" t="str">
        <f>_xlfn.CONCAT(uslugi49[[#This Row],[ozn]:[nr]])</f>
        <v>LC34568</v>
      </c>
      <c r="L43" s="1">
        <f>IF(VLOOKUP(uslugi49[[#This Row],[NIP]],nip_firm610[],2,FALSE)="BARTEX",1,0)</f>
        <v>0</v>
      </c>
      <c r="N43">
        <v>4779174699</v>
      </c>
      <c r="O43" s="1" t="s">
        <v>1461</v>
      </c>
    </row>
    <row r="44" spans="1:15" x14ac:dyDescent="0.25">
      <c r="A44" s="5" t="s">
        <v>117</v>
      </c>
      <c r="B44" s="6" t="s">
        <v>118</v>
      </c>
      <c r="C44" s="6" t="s">
        <v>116</v>
      </c>
      <c r="D44" s="7" t="s">
        <v>7</v>
      </c>
      <c r="F44">
        <v>3568004264</v>
      </c>
      <c r="G44" s="1" t="s">
        <v>428</v>
      </c>
      <c r="H44" s="1" t="s">
        <v>1124</v>
      </c>
      <c r="I44" s="1" t="s">
        <v>1087</v>
      </c>
      <c r="J44">
        <v>1928</v>
      </c>
      <c r="K44" s="1" t="str">
        <f>_xlfn.CONCAT(uslugi49[[#This Row],[ozn]:[nr]])</f>
        <v>LUBE630</v>
      </c>
      <c r="L44" s="1">
        <f>IF(VLOOKUP(uslugi49[[#This Row],[NIP]],nip_firm610[],2,FALSE)="BARTEX",1,0)</f>
        <v>0</v>
      </c>
      <c r="N44">
        <v>3357631311</v>
      </c>
      <c r="O44" s="1" t="s">
        <v>1462</v>
      </c>
    </row>
    <row r="45" spans="1:15" x14ac:dyDescent="0.25">
      <c r="A45" s="2" t="s">
        <v>119</v>
      </c>
      <c r="B45" s="3" t="s">
        <v>120</v>
      </c>
      <c r="C45" s="3" t="s">
        <v>121</v>
      </c>
      <c r="D45" s="4" t="s">
        <v>7</v>
      </c>
      <c r="F45">
        <v>1617995032</v>
      </c>
      <c r="G45" s="1" t="s">
        <v>892</v>
      </c>
      <c r="H45" s="1" t="s">
        <v>1125</v>
      </c>
      <c r="I45" s="1" t="s">
        <v>1087</v>
      </c>
      <c r="J45">
        <v>2194</v>
      </c>
      <c r="K45" s="1" t="str">
        <f>_xlfn.CONCAT(uslugi49[[#This Row],[ozn]:[nr]])</f>
        <v>PTU7D14</v>
      </c>
      <c r="L45" s="1">
        <f>IF(VLOOKUP(uslugi49[[#This Row],[NIP]],nip_firm610[],2,FALSE)="BARTEX",1,0)</f>
        <v>0</v>
      </c>
      <c r="N45">
        <v>2281651150</v>
      </c>
      <c r="O45" s="1" t="s">
        <v>1463</v>
      </c>
    </row>
    <row r="46" spans="1:15" x14ac:dyDescent="0.25">
      <c r="A46" s="5" t="s">
        <v>122</v>
      </c>
      <c r="B46" s="6" t="s">
        <v>123</v>
      </c>
      <c r="C46" s="6" t="s">
        <v>123</v>
      </c>
      <c r="D46" s="7" t="s">
        <v>22</v>
      </c>
      <c r="F46">
        <v>2119268767</v>
      </c>
      <c r="G46" s="1" t="s">
        <v>141</v>
      </c>
      <c r="H46" s="1" t="s">
        <v>1126</v>
      </c>
      <c r="I46" s="1" t="s">
        <v>1087</v>
      </c>
      <c r="J46">
        <v>2114</v>
      </c>
      <c r="K46" s="1" t="str">
        <f>_xlfn.CONCAT(uslugi49[[#This Row],[ozn]:[nr]])</f>
        <v>NEB55CS</v>
      </c>
      <c r="L46" s="1">
        <f>IF(VLOOKUP(uslugi49[[#This Row],[NIP]],nip_firm610[],2,FALSE)="BARTEX",1,0)</f>
        <v>0</v>
      </c>
      <c r="N46">
        <v>1939065269</v>
      </c>
      <c r="O46" s="1" t="s">
        <v>1464</v>
      </c>
    </row>
    <row r="47" spans="1:15" x14ac:dyDescent="0.25">
      <c r="A47" s="2" t="s">
        <v>124</v>
      </c>
      <c r="B47" s="3" t="s">
        <v>125</v>
      </c>
      <c r="C47" s="3" t="s">
        <v>126</v>
      </c>
      <c r="D47" s="4" t="s">
        <v>7</v>
      </c>
      <c r="F47">
        <v>5341884086</v>
      </c>
      <c r="G47" s="1" t="s">
        <v>270</v>
      </c>
      <c r="H47" s="1" t="s">
        <v>1127</v>
      </c>
      <c r="I47" s="1" t="s">
        <v>1087</v>
      </c>
      <c r="J47">
        <v>2364</v>
      </c>
      <c r="K47" s="1" t="str">
        <f>_xlfn.CONCAT(uslugi49[[#This Row],[ozn]:[nr]])</f>
        <v>SKS12EM</v>
      </c>
      <c r="L47" s="1">
        <f>IF(VLOOKUP(uslugi49[[#This Row],[NIP]],nip_firm610[],2,FALSE)="BARTEX",1,0)</f>
        <v>0</v>
      </c>
      <c r="N47">
        <v>5115061689</v>
      </c>
      <c r="O47" s="1" t="s">
        <v>1465</v>
      </c>
    </row>
    <row r="48" spans="1:15" x14ac:dyDescent="0.25">
      <c r="A48" s="5" t="s">
        <v>127</v>
      </c>
      <c r="B48" s="6" t="s">
        <v>128</v>
      </c>
      <c r="C48" s="6" t="s">
        <v>129</v>
      </c>
      <c r="D48" s="7" t="s">
        <v>7</v>
      </c>
      <c r="F48">
        <v>4779174699</v>
      </c>
      <c r="G48" s="1" t="s">
        <v>1003</v>
      </c>
      <c r="H48" s="1" t="s">
        <v>1128</v>
      </c>
      <c r="I48" s="1" t="s">
        <v>1087</v>
      </c>
      <c r="J48">
        <v>2462</v>
      </c>
      <c r="K48" s="1" t="str">
        <f>_xlfn.CONCAT(uslugi49[[#This Row],[ozn]:[nr]])</f>
        <v>DW3841A</v>
      </c>
      <c r="L48" s="1">
        <f>IF(VLOOKUP(uslugi49[[#This Row],[NIP]],nip_firm610[],2,FALSE)="BARTEX",1,0)</f>
        <v>0</v>
      </c>
      <c r="N48">
        <v>4796841112</v>
      </c>
      <c r="O48" s="1" t="s">
        <v>1466</v>
      </c>
    </row>
    <row r="49" spans="1:15" x14ac:dyDescent="0.25">
      <c r="A49" s="2" t="s">
        <v>130</v>
      </c>
      <c r="B49" s="3" t="s">
        <v>131</v>
      </c>
      <c r="C49" s="3" t="s">
        <v>132</v>
      </c>
      <c r="D49" s="4" t="s">
        <v>7</v>
      </c>
      <c r="F49">
        <v>1939065269</v>
      </c>
      <c r="G49" s="1" t="s">
        <v>636</v>
      </c>
      <c r="H49" s="1" t="s">
        <v>1129</v>
      </c>
      <c r="I49" s="1" t="s">
        <v>1087</v>
      </c>
      <c r="J49">
        <v>2696</v>
      </c>
      <c r="K49" s="1" t="str">
        <f>_xlfn.CONCAT(uslugi49[[#This Row],[ozn]:[nr]])</f>
        <v>PO16880</v>
      </c>
      <c r="L49" s="1">
        <f>IF(VLOOKUP(uslugi49[[#This Row],[NIP]],nip_firm610[],2,FALSE)="BARTEX",1,0)</f>
        <v>0</v>
      </c>
      <c r="N49">
        <v>1617995032</v>
      </c>
      <c r="O49" s="1" t="s">
        <v>1467</v>
      </c>
    </row>
    <row r="50" spans="1:15" x14ac:dyDescent="0.25">
      <c r="A50" s="5" t="s">
        <v>133</v>
      </c>
      <c r="B50" s="6" t="s">
        <v>134</v>
      </c>
      <c r="C50" s="6" t="s">
        <v>135</v>
      </c>
      <c r="D50" s="7" t="s">
        <v>7</v>
      </c>
      <c r="F50">
        <v>1939065269</v>
      </c>
      <c r="G50" s="1" t="s">
        <v>636</v>
      </c>
      <c r="H50" s="1" t="s">
        <v>1130</v>
      </c>
      <c r="I50" s="1" t="s">
        <v>1081</v>
      </c>
      <c r="J50">
        <v>2073</v>
      </c>
      <c r="K50" s="1" t="str">
        <f>_xlfn.CONCAT(uslugi49[[#This Row],[ozn]:[nr]])</f>
        <v>PO3921Q</v>
      </c>
      <c r="L50" s="1">
        <f>IF(VLOOKUP(uslugi49[[#This Row],[NIP]],nip_firm610[],2,FALSE)="BARTEX",1,0)</f>
        <v>0</v>
      </c>
      <c r="N50">
        <v>2214740049</v>
      </c>
      <c r="O50" s="1" t="s">
        <v>1468</v>
      </c>
    </row>
    <row r="51" spans="1:15" x14ac:dyDescent="0.25">
      <c r="A51" s="2" t="s">
        <v>136</v>
      </c>
      <c r="B51" s="3" t="s">
        <v>137</v>
      </c>
      <c r="C51" s="3" t="s">
        <v>138</v>
      </c>
      <c r="D51" s="4" t="s">
        <v>7</v>
      </c>
      <c r="F51">
        <v>5459753232</v>
      </c>
      <c r="G51" s="1" t="s">
        <v>737</v>
      </c>
      <c r="H51" s="1" t="s">
        <v>1131</v>
      </c>
      <c r="I51" s="1" t="s">
        <v>1087</v>
      </c>
      <c r="J51">
        <v>1629</v>
      </c>
      <c r="K51" s="1" t="str">
        <f>_xlfn.CONCAT(uslugi49[[#This Row],[ozn]:[nr]])</f>
        <v>BSI24678</v>
      </c>
      <c r="L51" s="1">
        <f>IF(VLOOKUP(uslugi49[[#This Row],[NIP]],nip_firm610[],2,FALSE)="BARTEX",1,0)</f>
        <v>0</v>
      </c>
      <c r="N51">
        <v>1620242236</v>
      </c>
      <c r="O51" s="1" t="s">
        <v>1469</v>
      </c>
    </row>
    <row r="52" spans="1:15" x14ac:dyDescent="0.25">
      <c r="A52" s="5" t="s">
        <v>139</v>
      </c>
      <c r="B52" s="6" t="s">
        <v>140</v>
      </c>
      <c r="C52" s="6" t="s">
        <v>140</v>
      </c>
      <c r="D52" s="7" t="s">
        <v>22</v>
      </c>
      <c r="F52">
        <v>4761158900</v>
      </c>
      <c r="G52" s="1" t="s">
        <v>294</v>
      </c>
      <c r="H52" s="1" t="s">
        <v>1132</v>
      </c>
      <c r="I52" s="1" t="s">
        <v>1087</v>
      </c>
      <c r="J52">
        <v>2139</v>
      </c>
      <c r="K52" s="1" t="str">
        <f>_xlfn.CONCAT(uslugi49[[#This Row],[ozn]:[nr]])</f>
        <v>OKL83130</v>
      </c>
      <c r="L52" s="1">
        <f>IF(VLOOKUP(uslugi49[[#This Row],[NIP]],nip_firm610[],2,FALSE)="BARTEX",1,0)</f>
        <v>0</v>
      </c>
      <c r="N52">
        <v>3579231044</v>
      </c>
      <c r="O52" s="1" t="s">
        <v>1470</v>
      </c>
    </row>
    <row r="53" spans="1:15" x14ac:dyDescent="0.25">
      <c r="A53" s="2" t="s">
        <v>141</v>
      </c>
      <c r="B53" s="3" t="s">
        <v>142</v>
      </c>
      <c r="C53" s="3" t="s">
        <v>140</v>
      </c>
      <c r="D53" s="4" t="s">
        <v>7</v>
      </c>
      <c r="F53">
        <v>1127056356</v>
      </c>
      <c r="G53" s="1" t="s">
        <v>317</v>
      </c>
      <c r="H53" s="1" t="s">
        <v>1133</v>
      </c>
      <c r="I53" s="1" t="s">
        <v>1087</v>
      </c>
      <c r="J53">
        <v>2944</v>
      </c>
      <c r="K53" s="1" t="str">
        <f>_xlfn.CONCAT(uslugi49[[#This Row],[ozn]:[nr]])</f>
        <v>PKSC568</v>
      </c>
      <c r="L53" s="1">
        <f>IF(VLOOKUP(uslugi49[[#This Row],[NIP]],nip_firm610[],2,FALSE)="BARTEX",1,0)</f>
        <v>0</v>
      </c>
      <c r="N53">
        <v>6727559092</v>
      </c>
      <c r="O53" s="1" t="s">
        <v>1471</v>
      </c>
    </row>
    <row r="54" spans="1:15" x14ac:dyDescent="0.25">
      <c r="A54" s="5" t="s">
        <v>143</v>
      </c>
      <c r="B54" s="6" t="s">
        <v>144</v>
      </c>
      <c r="C54" s="6" t="s">
        <v>145</v>
      </c>
      <c r="D54" s="7" t="s">
        <v>7</v>
      </c>
      <c r="F54">
        <v>1361555378</v>
      </c>
      <c r="G54" s="1" t="s">
        <v>270</v>
      </c>
      <c r="H54" s="1" t="s">
        <v>1134</v>
      </c>
      <c r="I54" s="1" t="s">
        <v>1081</v>
      </c>
      <c r="J54">
        <v>2250</v>
      </c>
      <c r="K54" s="1" t="str">
        <f>_xlfn.CONCAT(uslugi49[[#This Row],[ozn]:[nr]])</f>
        <v>SKWM236</v>
      </c>
      <c r="L54" s="1">
        <f>IF(VLOOKUP(uslugi49[[#This Row],[NIP]],nip_firm610[],2,FALSE)="BARTEX",1,0)</f>
        <v>0</v>
      </c>
      <c r="N54">
        <v>4956781088</v>
      </c>
      <c r="O54" s="1" t="s">
        <v>1472</v>
      </c>
    </row>
    <row r="55" spans="1:15" x14ac:dyDescent="0.25">
      <c r="A55" s="2" t="s">
        <v>146</v>
      </c>
      <c r="B55" s="3" t="s">
        <v>147</v>
      </c>
      <c r="C55" s="3" t="s">
        <v>148</v>
      </c>
      <c r="D55" s="4" t="s">
        <v>7</v>
      </c>
      <c r="F55">
        <v>1278408463</v>
      </c>
      <c r="G55" s="1" t="s">
        <v>314</v>
      </c>
      <c r="H55" s="1" t="s">
        <v>1135</v>
      </c>
      <c r="I55" s="1" t="s">
        <v>1087</v>
      </c>
      <c r="J55">
        <v>2190</v>
      </c>
      <c r="K55" s="1" t="str">
        <f>_xlfn.CONCAT(uslugi49[[#This Row],[ozn]:[nr]])</f>
        <v>PN16782</v>
      </c>
      <c r="L55" s="1">
        <f>IF(VLOOKUP(uslugi49[[#This Row],[NIP]],nip_firm610[],2,FALSE)="BARTEX",1,0)</f>
        <v>0</v>
      </c>
      <c r="N55">
        <v>4715154852</v>
      </c>
      <c r="O55" s="1" t="s">
        <v>1473</v>
      </c>
    </row>
    <row r="56" spans="1:15" x14ac:dyDescent="0.25">
      <c r="A56" s="5" t="s">
        <v>149</v>
      </c>
      <c r="B56" s="6" t="s">
        <v>150</v>
      </c>
      <c r="C56" s="6" t="s">
        <v>150</v>
      </c>
      <c r="D56" s="7" t="s">
        <v>22</v>
      </c>
      <c r="F56">
        <v>3114182744</v>
      </c>
      <c r="G56" s="1" t="s">
        <v>270</v>
      </c>
      <c r="H56" s="1" t="s">
        <v>1136</v>
      </c>
      <c r="I56" s="1" t="s">
        <v>1087</v>
      </c>
      <c r="J56">
        <v>2074</v>
      </c>
      <c r="K56" s="1" t="str">
        <f>_xlfn.CONCAT(uslugi49[[#This Row],[ozn]:[nr]])</f>
        <v>SKS98QG</v>
      </c>
      <c r="L56" s="1">
        <f>IF(VLOOKUP(uslugi49[[#This Row],[NIP]],nip_firm610[],2,FALSE)="BARTEX",1,0)</f>
        <v>0</v>
      </c>
      <c r="N56">
        <v>2581219876</v>
      </c>
      <c r="O56" s="1" t="s">
        <v>1474</v>
      </c>
    </row>
    <row r="57" spans="1:15" x14ac:dyDescent="0.25">
      <c r="A57" s="2" t="s">
        <v>151</v>
      </c>
      <c r="B57" s="3" t="s">
        <v>152</v>
      </c>
      <c r="C57" s="3" t="s">
        <v>153</v>
      </c>
      <c r="D57" s="4" t="s">
        <v>7</v>
      </c>
      <c r="F57">
        <v>4458233905</v>
      </c>
      <c r="G57" s="1" t="s">
        <v>1003</v>
      </c>
      <c r="H57" s="1" t="s">
        <v>1137</v>
      </c>
      <c r="I57" s="1" t="s">
        <v>1081</v>
      </c>
      <c r="J57">
        <v>1200</v>
      </c>
      <c r="K57" s="1" t="str">
        <f>_xlfn.CONCAT(uslugi49[[#This Row],[ozn]:[nr]])</f>
        <v>DW3344T</v>
      </c>
      <c r="L57" s="1">
        <f>IF(VLOOKUP(uslugi49[[#This Row],[NIP]],nip_firm610[],2,FALSE)="BARTEX",1,0)</f>
        <v>0</v>
      </c>
      <c r="N57">
        <v>3345883725</v>
      </c>
      <c r="O57" s="1" t="s">
        <v>1475</v>
      </c>
    </row>
    <row r="58" spans="1:15" x14ac:dyDescent="0.25">
      <c r="A58" s="5" t="s">
        <v>154</v>
      </c>
      <c r="B58" s="6" t="s">
        <v>155</v>
      </c>
      <c r="C58" s="6" t="s">
        <v>155</v>
      </c>
      <c r="D58" s="7" t="s">
        <v>22</v>
      </c>
      <c r="F58">
        <v>1617995032</v>
      </c>
      <c r="G58" s="1" t="s">
        <v>892</v>
      </c>
      <c r="H58" s="1" t="s">
        <v>1138</v>
      </c>
      <c r="I58" s="1" t="s">
        <v>1081</v>
      </c>
      <c r="J58">
        <v>1965</v>
      </c>
      <c r="K58" s="1" t="str">
        <f>_xlfn.CONCAT(uslugi49[[#This Row],[ozn]:[nr]])</f>
        <v>PTUL690</v>
      </c>
      <c r="L58" s="1">
        <f>IF(VLOOKUP(uslugi49[[#This Row],[NIP]],nip_firm610[],2,FALSE)="BARTEX",1,0)</f>
        <v>0</v>
      </c>
      <c r="N58">
        <v>5624201652</v>
      </c>
      <c r="O58" s="1" t="s">
        <v>1476</v>
      </c>
    </row>
    <row r="59" spans="1:15" x14ac:dyDescent="0.25">
      <c r="A59" s="2" t="s">
        <v>156</v>
      </c>
      <c r="B59" s="3" t="s">
        <v>157</v>
      </c>
      <c r="C59" s="3" t="s">
        <v>158</v>
      </c>
      <c r="D59" s="4" t="s">
        <v>7</v>
      </c>
      <c r="F59">
        <v>4761158900</v>
      </c>
      <c r="G59" s="1" t="s">
        <v>294</v>
      </c>
      <c r="H59" s="1" t="s">
        <v>1139</v>
      </c>
      <c r="I59" s="1" t="s">
        <v>1081</v>
      </c>
      <c r="J59">
        <v>1894</v>
      </c>
      <c r="K59" s="1" t="str">
        <f>_xlfn.CONCAT(uslugi49[[#This Row],[ozn]:[nr]])</f>
        <v>OKL74242</v>
      </c>
      <c r="L59" s="1">
        <f>IF(VLOOKUP(uslugi49[[#This Row],[NIP]],nip_firm610[],2,FALSE)="BARTEX",1,0)</f>
        <v>0</v>
      </c>
      <c r="N59">
        <v>5581610439</v>
      </c>
      <c r="O59" s="1" t="s">
        <v>1477</v>
      </c>
    </row>
    <row r="60" spans="1:15" x14ac:dyDescent="0.25">
      <c r="A60" s="5" t="s">
        <v>159</v>
      </c>
      <c r="B60" s="6" t="s">
        <v>160</v>
      </c>
      <c r="C60" s="6" t="s">
        <v>160</v>
      </c>
      <c r="D60" s="7" t="s">
        <v>22</v>
      </c>
      <c r="F60">
        <v>4241680809</v>
      </c>
      <c r="G60" s="1" t="s">
        <v>270</v>
      </c>
      <c r="H60" s="1" t="s">
        <v>1140</v>
      </c>
      <c r="I60" s="1" t="s">
        <v>1087</v>
      </c>
      <c r="J60">
        <v>1946</v>
      </c>
      <c r="K60" s="1" t="str">
        <f>_xlfn.CONCAT(uslugi49[[#This Row],[ozn]:[nr]])</f>
        <v>SKRG347</v>
      </c>
      <c r="L60" s="1">
        <f>IF(VLOOKUP(uslugi49[[#This Row],[NIP]],nip_firm610[],2,FALSE)="BARTEX",1,0)</f>
        <v>0</v>
      </c>
      <c r="N60">
        <v>3470453173</v>
      </c>
      <c r="O60" s="1" t="s">
        <v>1478</v>
      </c>
    </row>
    <row r="61" spans="1:15" x14ac:dyDescent="0.25">
      <c r="A61" s="2" t="s">
        <v>161</v>
      </c>
      <c r="B61" s="3" t="s">
        <v>162</v>
      </c>
      <c r="C61" s="3" t="s">
        <v>160</v>
      </c>
      <c r="D61" s="4" t="s">
        <v>7</v>
      </c>
      <c r="F61">
        <v>1524870307</v>
      </c>
      <c r="G61" s="1" t="s">
        <v>270</v>
      </c>
      <c r="H61" s="1" t="s">
        <v>1141</v>
      </c>
      <c r="I61" s="1" t="s">
        <v>1081</v>
      </c>
      <c r="J61">
        <v>1810</v>
      </c>
      <c r="K61" s="1" t="str">
        <f>_xlfn.CONCAT(uslugi49[[#This Row],[ozn]:[nr]])</f>
        <v>SKN89WP</v>
      </c>
      <c r="L61" s="1">
        <f>IF(VLOOKUP(uslugi49[[#This Row],[NIP]],nip_firm610[],2,FALSE)="BARTEX",1,0)</f>
        <v>0</v>
      </c>
      <c r="N61">
        <v>6758177505</v>
      </c>
      <c r="O61" s="1" t="s">
        <v>1479</v>
      </c>
    </row>
    <row r="62" spans="1:15" x14ac:dyDescent="0.25">
      <c r="A62" s="5" t="s">
        <v>163</v>
      </c>
      <c r="B62" s="6" t="s">
        <v>164</v>
      </c>
      <c r="C62" s="6" t="s">
        <v>165</v>
      </c>
      <c r="D62" s="7" t="s">
        <v>7</v>
      </c>
      <c r="F62">
        <v>1818291355</v>
      </c>
      <c r="G62" s="1" t="s">
        <v>270</v>
      </c>
      <c r="H62" s="1" t="s">
        <v>1142</v>
      </c>
      <c r="I62" s="1" t="s">
        <v>1081</v>
      </c>
      <c r="J62">
        <v>2448</v>
      </c>
      <c r="K62" s="1" t="str">
        <f>_xlfn.CONCAT(uslugi49[[#This Row],[ozn]:[nr]])</f>
        <v>SKZ78PZ</v>
      </c>
      <c r="L62" s="1">
        <f>IF(VLOOKUP(uslugi49[[#This Row],[NIP]],nip_firm610[],2,FALSE)="BARTEX",1,0)</f>
        <v>0</v>
      </c>
    </row>
    <row r="63" spans="1:15" x14ac:dyDescent="0.25">
      <c r="A63" s="2" t="s">
        <v>166</v>
      </c>
      <c r="B63" s="3" t="s">
        <v>167</v>
      </c>
      <c r="C63" s="3" t="s">
        <v>168</v>
      </c>
      <c r="D63" s="4" t="s">
        <v>7</v>
      </c>
      <c r="F63">
        <v>4653095092</v>
      </c>
      <c r="G63" s="1" t="s">
        <v>527</v>
      </c>
      <c r="H63" s="1" t="s">
        <v>1143</v>
      </c>
      <c r="I63" s="1" t="s">
        <v>1087</v>
      </c>
      <c r="J63">
        <v>1995</v>
      </c>
      <c r="K63" s="1" t="str">
        <f>_xlfn.CONCAT(uslugi49[[#This Row],[ozn]:[nr]])</f>
        <v>ONY1245</v>
      </c>
      <c r="L63" s="1">
        <f>IF(VLOOKUP(uslugi49[[#This Row],[NIP]],nip_firm610[],2,FALSE)="BARTEX",1,0)</f>
        <v>0</v>
      </c>
    </row>
    <row r="64" spans="1:15" x14ac:dyDescent="0.25">
      <c r="A64" s="5" t="s">
        <v>169</v>
      </c>
      <c r="B64" s="6" t="s">
        <v>170</v>
      </c>
      <c r="C64" s="6" t="s">
        <v>171</v>
      </c>
      <c r="D64" s="7" t="s">
        <v>7</v>
      </c>
      <c r="F64">
        <v>6758177505</v>
      </c>
      <c r="G64" s="1" t="s">
        <v>869</v>
      </c>
      <c r="H64" s="1" t="s">
        <v>1144</v>
      </c>
      <c r="I64" s="1" t="s">
        <v>1081</v>
      </c>
      <c r="J64">
        <v>2216</v>
      </c>
      <c r="K64" s="1" t="str">
        <f>_xlfn.CONCAT(uslugi49[[#This Row],[ozn]:[nr]])</f>
        <v>KTA512R</v>
      </c>
      <c r="L64" s="1">
        <f>IF(VLOOKUP(uslugi49[[#This Row],[NIP]],nip_firm610[],2,FALSE)="BARTEX",1,0)</f>
        <v>0</v>
      </c>
    </row>
    <row r="65" spans="1:12" x14ac:dyDescent="0.25">
      <c r="A65" s="2" t="s">
        <v>172</v>
      </c>
      <c r="B65" s="3" t="s">
        <v>173</v>
      </c>
      <c r="C65" s="3" t="s">
        <v>174</v>
      </c>
      <c r="D65" s="4" t="s">
        <v>7</v>
      </c>
      <c r="F65">
        <v>1278408463</v>
      </c>
      <c r="G65" s="1" t="s">
        <v>314</v>
      </c>
      <c r="H65" s="1" t="s">
        <v>1145</v>
      </c>
      <c r="I65" s="1" t="s">
        <v>1081</v>
      </c>
      <c r="J65">
        <v>2226</v>
      </c>
      <c r="K65" s="1" t="str">
        <f>_xlfn.CONCAT(uslugi49[[#This Row],[ozn]:[nr]])</f>
        <v>PN16784</v>
      </c>
      <c r="L65" s="1">
        <f>IF(VLOOKUP(uslugi49[[#This Row],[NIP]],nip_firm610[],2,FALSE)="BARTEX",1,0)</f>
        <v>0</v>
      </c>
    </row>
    <row r="66" spans="1:12" x14ac:dyDescent="0.25">
      <c r="A66" s="5" t="s">
        <v>175</v>
      </c>
      <c r="B66" s="6" t="s">
        <v>176</v>
      </c>
      <c r="C66" s="6" t="s">
        <v>177</v>
      </c>
      <c r="D66" s="7" t="s">
        <v>7</v>
      </c>
      <c r="F66">
        <v>3318203338</v>
      </c>
      <c r="G66" s="1" t="s">
        <v>270</v>
      </c>
      <c r="H66" s="1" t="s">
        <v>1146</v>
      </c>
      <c r="I66" s="1" t="s">
        <v>1081</v>
      </c>
      <c r="J66">
        <v>2640</v>
      </c>
      <c r="K66" s="1" t="str">
        <f>_xlfn.CONCAT(uslugi49[[#This Row],[ozn]:[nr]])</f>
        <v>SKLG353</v>
      </c>
      <c r="L66" s="1">
        <f>IF(VLOOKUP(uslugi49[[#This Row],[NIP]],nip_firm610[],2,FALSE)="BARTEX",1,0)</f>
        <v>0</v>
      </c>
    </row>
    <row r="67" spans="1:12" x14ac:dyDescent="0.25">
      <c r="A67" s="2" t="s">
        <v>178</v>
      </c>
      <c r="B67" s="3" t="s">
        <v>179</v>
      </c>
      <c r="C67" s="3" t="s">
        <v>180</v>
      </c>
      <c r="D67" s="4" t="s">
        <v>7</v>
      </c>
      <c r="F67">
        <v>1617995032</v>
      </c>
      <c r="G67" s="1" t="s">
        <v>892</v>
      </c>
      <c r="H67" s="1" t="s">
        <v>1147</v>
      </c>
      <c r="I67" s="1" t="s">
        <v>1081</v>
      </c>
      <c r="J67">
        <v>2358</v>
      </c>
      <c r="K67" s="1" t="str">
        <f>_xlfn.CONCAT(uslugi49[[#This Row],[ozn]:[nr]])</f>
        <v>PTU52YS</v>
      </c>
      <c r="L67" s="1">
        <f>IF(VLOOKUP(uslugi49[[#This Row],[NIP]],nip_firm610[],2,FALSE)="BARTEX",1,0)</f>
        <v>0</v>
      </c>
    </row>
    <row r="68" spans="1:12" x14ac:dyDescent="0.25">
      <c r="A68" s="5" t="s">
        <v>181</v>
      </c>
      <c r="B68" s="6" t="s">
        <v>182</v>
      </c>
      <c r="C68" s="6" t="s">
        <v>183</v>
      </c>
      <c r="D68" s="7" t="s">
        <v>7</v>
      </c>
      <c r="F68">
        <v>4458233905</v>
      </c>
      <c r="G68" s="1" t="s">
        <v>1003</v>
      </c>
      <c r="H68" s="1" t="s">
        <v>1148</v>
      </c>
      <c r="I68" s="1" t="s">
        <v>1087</v>
      </c>
      <c r="J68">
        <v>2175</v>
      </c>
      <c r="K68" s="1" t="str">
        <f>_xlfn.CONCAT(uslugi49[[#This Row],[ozn]:[nr]])</f>
        <v>DWRM754</v>
      </c>
      <c r="L68" s="1">
        <f>IF(VLOOKUP(uslugi49[[#This Row],[NIP]],nip_firm610[],2,FALSE)="BARTEX",1,0)</f>
        <v>0</v>
      </c>
    </row>
    <row r="69" spans="1:12" x14ac:dyDescent="0.25">
      <c r="A69" s="2" t="s">
        <v>184</v>
      </c>
      <c r="B69" s="3" t="s">
        <v>185</v>
      </c>
      <c r="C69" s="3" t="s">
        <v>186</v>
      </c>
      <c r="D69" s="4" t="s">
        <v>7</v>
      </c>
      <c r="F69">
        <v>1361555378</v>
      </c>
      <c r="G69" s="1" t="s">
        <v>270</v>
      </c>
      <c r="H69" s="1" t="s">
        <v>1149</v>
      </c>
      <c r="I69" s="1" t="s">
        <v>1081</v>
      </c>
      <c r="J69">
        <v>2972</v>
      </c>
      <c r="K69" s="1" t="str">
        <f>_xlfn.CONCAT(uslugi49[[#This Row],[ozn]:[nr]])</f>
        <v>SKWD234</v>
      </c>
      <c r="L69" s="1">
        <f>IF(VLOOKUP(uslugi49[[#This Row],[NIP]],nip_firm610[],2,FALSE)="BARTEX",1,0)</f>
        <v>0</v>
      </c>
    </row>
    <row r="70" spans="1:12" x14ac:dyDescent="0.25">
      <c r="A70" s="5" t="s">
        <v>187</v>
      </c>
      <c r="B70" s="6" t="s">
        <v>188</v>
      </c>
      <c r="C70" s="6" t="s">
        <v>188</v>
      </c>
      <c r="D70" s="7" t="s">
        <v>22</v>
      </c>
      <c r="F70">
        <v>6758177505</v>
      </c>
      <c r="G70" s="1" t="s">
        <v>862</v>
      </c>
      <c r="H70" s="1" t="s">
        <v>1150</v>
      </c>
      <c r="I70" s="1" t="s">
        <v>1081</v>
      </c>
      <c r="J70">
        <v>1779</v>
      </c>
      <c r="K70" s="1" t="str">
        <f>_xlfn.CONCAT(uslugi49[[#This Row],[ozn]:[nr]])</f>
        <v>RTA490N</v>
      </c>
      <c r="L70" s="1">
        <f>IF(VLOOKUP(uslugi49[[#This Row],[NIP]],nip_firm610[],2,FALSE)="BARTEX",1,0)</f>
        <v>0</v>
      </c>
    </row>
    <row r="71" spans="1:12" x14ac:dyDescent="0.25">
      <c r="A71" s="2" t="s">
        <v>189</v>
      </c>
      <c r="B71" s="3" t="s">
        <v>190</v>
      </c>
      <c r="C71" s="3" t="s">
        <v>191</v>
      </c>
      <c r="D71" s="4" t="s">
        <v>7</v>
      </c>
      <c r="F71">
        <v>3318203338</v>
      </c>
      <c r="G71" s="1" t="s">
        <v>270</v>
      </c>
      <c r="H71" s="1" t="s">
        <v>1151</v>
      </c>
      <c r="I71" s="1" t="s">
        <v>1087</v>
      </c>
      <c r="J71">
        <v>2165</v>
      </c>
      <c r="K71" s="1" t="str">
        <f>_xlfn.CONCAT(uslugi49[[#This Row],[ozn]:[nr]])</f>
        <v>SKL67AK</v>
      </c>
      <c r="L71" s="1">
        <f>IF(VLOOKUP(uslugi49[[#This Row],[NIP]],nip_firm610[],2,FALSE)="BARTEX",1,0)</f>
        <v>0</v>
      </c>
    </row>
    <row r="72" spans="1:12" x14ac:dyDescent="0.25">
      <c r="A72" s="5" t="s">
        <v>192</v>
      </c>
      <c r="B72" s="6" t="s">
        <v>193</v>
      </c>
      <c r="C72" s="6" t="s">
        <v>194</v>
      </c>
      <c r="D72" s="7" t="s">
        <v>7</v>
      </c>
      <c r="F72">
        <v>5459753232</v>
      </c>
      <c r="G72" s="1" t="s">
        <v>737</v>
      </c>
      <c r="H72" s="1" t="s">
        <v>1152</v>
      </c>
      <c r="I72" s="1" t="s">
        <v>1081</v>
      </c>
      <c r="J72">
        <v>2758</v>
      </c>
      <c r="K72" s="1" t="str">
        <f>_xlfn.CONCAT(uslugi49[[#This Row],[ozn]:[nr]])</f>
        <v>BSI25082</v>
      </c>
      <c r="L72" s="1">
        <f>IF(VLOOKUP(uslugi49[[#This Row],[NIP]],nip_firm610[],2,FALSE)="BARTEX",1,0)</f>
        <v>0</v>
      </c>
    </row>
    <row r="73" spans="1:12" x14ac:dyDescent="0.25">
      <c r="A73" s="2" t="s">
        <v>195</v>
      </c>
      <c r="B73" s="3" t="s">
        <v>196</v>
      </c>
      <c r="C73" s="3" t="s">
        <v>197</v>
      </c>
      <c r="D73" s="4" t="s">
        <v>7</v>
      </c>
      <c r="F73">
        <v>4326751508</v>
      </c>
      <c r="G73" s="1" t="s">
        <v>40</v>
      </c>
      <c r="H73" s="1" t="s">
        <v>1153</v>
      </c>
      <c r="I73" s="1" t="s">
        <v>1087</v>
      </c>
      <c r="J73">
        <v>2198</v>
      </c>
      <c r="K73" s="1" t="str">
        <f>_xlfn.CONCAT(uslugi49[[#This Row],[ozn]:[nr]])</f>
        <v>SB49800</v>
      </c>
      <c r="L73" s="1">
        <f>IF(VLOOKUP(uslugi49[[#This Row],[NIP]],nip_firm610[],2,FALSE)="BARTEX",1,0)</f>
        <v>0</v>
      </c>
    </row>
    <row r="74" spans="1:12" x14ac:dyDescent="0.25">
      <c r="A74" s="5" t="s">
        <v>198</v>
      </c>
      <c r="B74" s="6" t="s">
        <v>199</v>
      </c>
      <c r="C74" s="6" t="s">
        <v>200</v>
      </c>
      <c r="D74" s="7" t="s">
        <v>7</v>
      </c>
      <c r="F74">
        <v>4326751508</v>
      </c>
      <c r="G74" s="1" t="s">
        <v>40</v>
      </c>
      <c r="H74" s="1" t="s">
        <v>1154</v>
      </c>
      <c r="I74" s="1" t="s">
        <v>1087</v>
      </c>
      <c r="J74">
        <v>1902</v>
      </c>
      <c r="K74" s="1" t="str">
        <f>_xlfn.CONCAT(uslugi49[[#This Row],[ozn]:[nr]])</f>
        <v>SB57577</v>
      </c>
      <c r="L74" s="1">
        <f>IF(VLOOKUP(uslugi49[[#This Row],[NIP]],nip_firm610[],2,FALSE)="BARTEX",1,0)</f>
        <v>0</v>
      </c>
    </row>
    <row r="75" spans="1:12" x14ac:dyDescent="0.25">
      <c r="A75" s="2" t="s">
        <v>201</v>
      </c>
      <c r="B75" s="3" t="s">
        <v>202</v>
      </c>
      <c r="C75" s="3" t="s">
        <v>203</v>
      </c>
      <c r="D75" s="4" t="s">
        <v>7</v>
      </c>
      <c r="F75">
        <v>4458233905</v>
      </c>
      <c r="G75" s="1" t="s">
        <v>270</v>
      </c>
      <c r="H75" s="1" t="s">
        <v>1155</v>
      </c>
      <c r="I75" s="1" t="s">
        <v>1087</v>
      </c>
      <c r="J75">
        <v>2318</v>
      </c>
      <c r="K75" s="1" t="str">
        <f>_xlfn.CONCAT(uslugi49[[#This Row],[ozn]:[nr]])</f>
        <v>SKRM745</v>
      </c>
      <c r="L75" s="1">
        <f>IF(VLOOKUP(uslugi49[[#This Row],[NIP]],nip_firm610[],2,FALSE)="BARTEX",1,0)</f>
        <v>0</v>
      </c>
    </row>
    <row r="76" spans="1:12" x14ac:dyDescent="0.25">
      <c r="A76" s="5" t="s">
        <v>204</v>
      </c>
      <c r="B76" s="6" t="s">
        <v>202</v>
      </c>
      <c r="C76" s="6" t="s">
        <v>205</v>
      </c>
      <c r="D76" s="7" t="s">
        <v>7</v>
      </c>
      <c r="F76">
        <v>3470453173</v>
      </c>
      <c r="G76" s="1" t="s">
        <v>85</v>
      </c>
      <c r="H76" s="1" t="s">
        <v>1156</v>
      </c>
      <c r="I76" s="1" t="s">
        <v>1081</v>
      </c>
      <c r="J76">
        <v>2415</v>
      </c>
      <c r="K76" s="1" t="str">
        <f>_xlfn.CONCAT(uslugi49[[#This Row],[ozn]:[nr]])</f>
        <v>LC7893E</v>
      </c>
      <c r="L76" s="1">
        <f>IF(VLOOKUP(uslugi49[[#This Row],[NIP]],nip_firm610[],2,FALSE)="BARTEX",1,0)</f>
        <v>0</v>
      </c>
    </row>
    <row r="77" spans="1:12" x14ac:dyDescent="0.25">
      <c r="A77" s="2" t="s">
        <v>206</v>
      </c>
      <c r="B77" s="3" t="s">
        <v>207</v>
      </c>
      <c r="C77" s="3" t="s">
        <v>208</v>
      </c>
      <c r="D77" s="4" t="s">
        <v>7</v>
      </c>
      <c r="F77">
        <v>1524870307</v>
      </c>
      <c r="G77" s="1" t="s">
        <v>270</v>
      </c>
      <c r="H77" s="1" t="s">
        <v>1157</v>
      </c>
      <c r="I77" s="1" t="s">
        <v>1087</v>
      </c>
      <c r="J77">
        <v>1893</v>
      </c>
      <c r="K77" s="1" t="str">
        <f>_xlfn.CONCAT(uslugi49[[#This Row],[ozn]:[nr]])</f>
        <v>SKN90SL</v>
      </c>
      <c r="L77" s="1">
        <f>IF(VLOOKUP(uslugi49[[#This Row],[NIP]],nip_firm610[],2,FALSE)="BARTEX",1,0)</f>
        <v>0</v>
      </c>
    </row>
    <row r="78" spans="1:12" x14ac:dyDescent="0.25">
      <c r="A78" s="5" t="s">
        <v>209</v>
      </c>
      <c r="B78" s="6" t="s">
        <v>210</v>
      </c>
      <c r="C78" s="6" t="s">
        <v>210</v>
      </c>
      <c r="D78" s="7" t="s">
        <v>22</v>
      </c>
      <c r="F78">
        <v>2245871126</v>
      </c>
      <c r="G78" s="1" t="s">
        <v>73</v>
      </c>
      <c r="H78" s="1" t="s">
        <v>1158</v>
      </c>
      <c r="I78" s="1" t="s">
        <v>1087</v>
      </c>
      <c r="J78">
        <v>1950</v>
      </c>
      <c r="K78" s="1" t="str">
        <f>_xlfn.CONCAT(uslugi49[[#This Row],[ozn]:[nr]])</f>
        <v>TBU24072</v>
      </c>
      <c r="L78" s="1">
        <f>IF(VLOOKUP(uslugi49[[#This Row],[NIP]],nip_firm610[],2,FALSE)="BARTEX",1,0)</f>
        <v>0</v>
      </c>
    </row>
    <row r="79" spans="1:12" x14ac:dyDescent="0.25">
      <c r="A79" s="2" t="s">
        <v>211</v>
      </c>
      <c r="B79" s="3" t="s">
        <v>212</v>
      </c>
      <c r="C79" s="3" t="s">
        <v>210</v>
      </c>
      <c r="D79" s="4" t="s">
        <v>7</v>
      </c>
      <c r="F79">
        <v>2281651150</v>
      </c>
      <c r="G79" s="1" t="s">
        <v>552</v>
      </c>
      <c r="H79" s="1" t="s">
        <v>1159</v>
      </c>
      <c r="I79" s="1" t="s">
        <v>1087</v>
      </c>
      <c r="J79">
        <v>2575</v>
      </c>
      <c r="K79" s="1" t="str">
        <f>_xlfn.CONCAT(uslugi49[[#This Row],[ozn]:[nr]])</f>
        <v>NOL14UV</v>
      </c>
      <c r="L79" s="1">
        <f>IF(VLOOKUP(uslugi49[[#This Row],[NIP]],nip_firm610[],2,FALSE)="BARTEX",1,0)</f>
        <v>0</v>
      </c>
    </row>
    <row r="80" spans="1:12" x14ac:dyDescent="0.25">
      <c r="A80" s="5" t="s">
        <v>213</v>
      </c>
      <c r="B80" s="6" t="s">
        <v>214</v>
      </c>
      <c r="C80" s="6" t="s">
        <v>215</v>
      </c>
      <c r="D80" s="7" t="s">
        <v>7</v>
      </c>
      <c r="F80">
        <v>5266741491</v>
      </c>
      <c r="G80" s="1" t="s">
        <v>636</v>
      </c>
      <c r="H80" s="1" t="s">
        <v>1160</v>
      </c>
      <c r="I80" s="1" t="s">
        <v>1081</v>
      </c>
      <c r="J80">
        <v>2565</v>
      </c>
      <c r="K80" s="1" t="str">
        <f>_xlfn.CONCAT(uslugi49[[#This Row],[ozn]:[nr]])</f>
        <v>POP48WY</v>
      </c>
      <c r="L80" s="1">
        <f>IF(VLOOKUP(uslugi49[[#This Row],[NIP]],nip_firm610[],2,FALSE)="BARTEX",1,0)</f>
        <v>0</v>
      </c>
    </row>
    <row r="81" spans="1:12" x14ac:dyDescent="0.25">
      <c r="A81" s="2" t="s">
        <v>216</v>
      </c>
      <c r="B81" s="3" t="s">
        <v>217</v>
      </c>
      <c r="C81" s="3" t="s">
        <v>218</v>
      </c>
      <c r="D81" s="4" t="s">
        <v>7</v>
      </c>
      <c r="F81">
        <v>5341884086</v>
      </c>
      <c r="G81" s="1" t="s">
        <v>636</v>
      </c>
      <c r="H81" s="1" t="s">
        <v>1161</v>
      </c>
      <c r="I81" s="1" t="s">
        <v>1081</v>
      </c>
      <c r="J81">
        <v>1970</v>
      </c>
      <c r="K81" s="1" t="str">
        <f>_xlfn.CONCAT(uslugi49[[#This Row],[ozn]:[nr]])</f>
        <v>POS23TN</v>
      </c>
      <c r="L81" s="1">
        <f>IF(VLOOKUP(uslugi49[[#This Row],[NIP]],nip_firm610[],2,FALSE)="BARTEX",1,0)</f>
        <v>0</v>
      </c>
    </row>
    <row r="82" spans="1:12" x14ac:dyDescent="0.25">
      <c r="A82" s="5" t="s">
        <v>219</v>
      </c>
      <c r="B82" s="6" t="s">
        <v>220</v>
      </c>
      <c r="C82" s="6" t="s">
        <v>221</v>
      </c>
      <c r="D82" s="7" t="s">
        <v>7</v>
      </c>
      <c r="F82">
        <v>5459753232</v>
      </c>
      <c r="G82" s="1" t="s">
        <v>737</v>
      </c>
      <c r="H82" s="1" t="s">
        <v>1162</v>
      </c>
      <c r="I82" s="1" t="s">
        <v>1087</v>
      </c>
      <c r="J82">
        <v>1950</v>
      </c>
      <c r="K82" s="1" t="str">
        <f>_xlfn.CONCAT(uslugi49[[#This Row],[ozn]:[nr]])</f>
        <v>BSI25284</v>
      </c>
      <c r="L82" s="1">
        <f>IF(VLOOKUP(uslugi49[[#This Row],[NIP]],nip_firm610[],2,FALSE)="BARTEX",1,0)</f>
        <v>0</v>
      </c>
    </row>
    <row r="83" spans="1:12" x14ac:dyDescent="0.25">
      <c r="A83" s="2" t="s">
        <v>222</v>
      </c>
      <c r="B83" s="3" t="s">
        <v>223</v>
      </c>
      <c r="C83" s="3" t="s">
        <v>224</v>
      </c>
      <c r="D83" s="4" t="s">
        <v>7</v>
      </c>
      <c r="F83">
        <v>1617995032</v>
      </c>
      <c r="G83" s="1" t="s">
        <v>892</v>
      </c>
      <c r="H83" s="1" t="s">
        <v>1163</v>
      </c>
      <c r="I83" s="1" t="s">
        <v>1081</v>
      </c>
      <c r="J83">
        <v>2448</v>
      </c>
      <c r="K83" s="1" t="str">
        <f>_xlfn.CONCAT(uslugi49[[#This Row],[ozn]:[nr]])</f>
        <v>PTU56KC</v>
      </c>
      <c r="L83" s="1">
        <f>IF(VLOOKUP(uslugi49[[#This Row],[NIP]],nip_firm610[],2,FALSE)="BARTEX",1,0)</f>
        <v>0</v>
      </c>
    </row>
    <row r="84" spans="1:12" x14ac:dyDescent="0.25">
      <c r="A84" s="5" t="s">
        <v>225</v>
      </c>
      <c r="B84" s="6" t="s">
        <v>226</v>
      </c>
      <c r="C84" s="6" t="s">
        <v>227</v>
      </c>
      <c r="D84" s="7" t="s">
        <v>7</v>
      </c>
      <c r="F84">
        <v>5185759244</v>
      </c>
      <c r="G84" s="1" t="s">
        <v>636</v>
      </c>
      <c r="H84" s="1" t="s">
        <v>1164</v>
      </c>
      <c r="I84" s="1" t="s">
        <v>1087</v>
      </c>
      <c r="J84">
        <v>2688</v>
      </c>
      <c r="K84" s="1" t="str">
        <f>_xlfn.CONCAT(uslugi49[[#This Row],[ozn]:[nr]])</f>
        <v>POY32DP</v>
      </c>
      <c r="L84" s="1">
        <f>IF(VLOOKUP(uslugi49[[#This Row],[NIP]],nip_firm610[],2,FALSE)="BARTEX",1,0)</f>
        <v>0</v>
      </c>
    </row>
    <row r="85" spans="1:12" x14ac:dyDescent="0.25">
      <c r="A85" s="2" t="s">
        <v>228</v>
      </c>
      <c r="B85" s="3" t="s">
        <v>229</v>
      </c>
      <c r="C85" s="3" t="s">
        <v>230</v>
      </c>
      <c r="D85" s="4" t="s">
        <v>7</v>
      </c>
      <c r="F85">
        <v>3568004264</v>
      </c>
      <c r="G85" s="1" t="s">
        <v>428</v>
      </c>
      <c r="H85" s="1" t="s">
        <v>1165</v>
      </c>
      <c r="I85" s="1" t="s">
        <v>1081</v>
      </c>
      <c r="J85">
        <v>2185</v>
      </c>
      <c r="K85" s="1" t="str">
        <f>_xlfn.CONCAT(uslugi49[[#This Row],[ozn]:[nr]])</f>
        <v>LUBC632</v>
      </c>
      <c r="L85" s="1">
        <f>IF(VLOOKUP(uslugi49[[#This Row],[NIP]],nip_firm610[],2,FALSE)="BARTEX",1,0)</f>
        <v>0</v>
      </c>
    </row>
    <row r="86" spans="1:12" x14ac:dyDescent="0.25">
      <c r="A86" s="5" t="s">
        <v>231</v>
      </c>
      <c r="B86" s="6" t="s">
        <v>232</v>
      </c>
      <c r="C86" s="6" t="s">
        <v>233</v>
      </c>
      <c r="D86" s="7" t="s">
        <v>7</v>
      </c>
      <c r="F86">
        <v>1620242236</v>
      </c>
      <c r="G86" s="1" t="s">
        <v>314</v>
      </c>
      <c r="H86" s="1" t="s">
        <v>1166</v>
      </c>
      <c r="I86" s="1" t="s">
        <v>1087</v>
      </c>
      <c r="J86">
        <v>3192</v>
      </c>
      <c r="K86" s="1" t="str">
        <f>_xlfn.CONCAT(uslugi49[[#This Row],[ozn]:[nr]])</f>
        <v>PN4111S</v>
      </c>
      <c r="L86" s="1">
        <f>IF(VLOOKUP(uslugi49[[#This Row],[NIP]],nip_firm610[],2,FALSE)="BARTEX",1,0)</f>
        <v>0</v>
      </c>
    </row>
    <row r="87" spans="1:12" x14ac:dyDescent="0.25">
      <c r="A87" s="2" t="s">
        <v>234</v>
      </c>
      <c r="B87" s="3" t="s">
        <v>235</v>
      </c>
      <c r="C87" s="3" t="s">
        <v>236</v>
      </c>
      <c r="D87" s="4" t="s">
        <v>7</v>
      </c>
      <c r="F87">
        <v>3470453173</v>
      </c>
      <c r="G87" s="1" t="s">
        <v>85</v>
      </c>
      <c r="H87" s="1" t="s">
        <v>1167</v>
      </c>
      <c r="I87" s="1" t="s">
        <v>1087</v>
      </c>
      <c r="J87">
        <v>2464</v>
      </c>
      <c r="K87" s="1" t="str">
        <f>_xlfn.CONCAT(uslugi49[[#This Row],[ozn]:[nr]])</f>
        <v>LC34570</v>
      </c>
      <c r="L87" s="1">
        <f>IF(VLOOKUP(uslugi49[[#This Row],[NIP]],nip_firm610[],2,FALSE)="BARTEX",1,0)</f>
        <v>0</v>
      </c>
    </row>
    <row r="88" spans="1:12" x14ac:dyDescent="0.25">
      <c r="A88" s="5" t="s">
        <v>237</v>
      </c>
      <c r="B88" s="6" t="s">
        <v>238</v>
      </c>
      <c r="C88" s="6" t="s">
        <v>239</v>
      </c>
      <c r="D88" s="7" t="s">
        <v>7</v>
      </c>
      <c r="F88">
        <v>6727559092</v>
      </c>
      <c r="G88" s="1" t="s">
        <v>862</v>
      </c>
      <c r="H88" s="1" t="s">
        <v>1168</v>
      </c>
      <c r="I88" s="1" t="s">
        <v>1087</v>
      </c>
      <c r="J88">
        <v>2034</v>
      </c>
      <c r="K88" s="1" t="str">
        <f>_xlfn.CONCAT(uslugi49[[#This Row],[ozn]:[nr]])</f>
        <v>RTA301J</v>
      </c>
      <c r="L88" s="1">
        <f>IF(VLOOKUP(uslugi49[[#This Row],[NIP]],nip_firm610[],2,FALSE)="BARTEX",1,0)</f>
        <v>0</v>
      </c>
    </row>
    <row r="89" spans="1:12" x14ac:dyDescent="0.25">
      <c r="A89" s="2" t="s">
        <v>240</v>
      </c>
      <c r="B89" s="3" t="s">
        <v>241</v>
      </c>
      <c r="C89" s="3" t="s">
        <v>242</v>
      </c>
      <c r="D89" s="4" t="s">
        <v>7</v>
      </c>
      <c r="F89">
        <v>1127056356</v>
      </c>
      <c r="G89" s="1" t="s">
        <v>317</v>
      </c>
      <c r="H89" s="1" t="s">
        <v>1169</v>
      </c>
      <c r="I89" s="1" t="s">
        <v>1081</v>
      </c>
      <c r="J89">
        <v>2436</v>
      </c>
      <c r="K89" s="1" t="str">
        <f>_xlfn.CONCAT(uslugi49[[#This Row],[ozn]:[nr]])</f>
        <v>PKSQ564</v>
      </c>
      <c r="L89" s="1">
        <f>IF(VLOOKUP(uslugi49[[#This Row],[NIP]],nip_firm610[],2,FALSE)="BARTEX",1,0)</f>
        <v>0</v>
      </c>
    </row>
    <row r="90" spans="1:12" x14ac:dyDescent="0.25">
      <c r="A90" s="5" t="s">
        <v>243</v>
      </c>
      <c r="B90" s="6" t="s">
        <v>244</v>
      </c>
      <c r="C90" s="6" t="s">
        <v>244</v>
      </c>
      <c r="D90" s="7" t="s">
        <v>22</v>
      </c>
      <c r="F90">
        <v>6727559092</v>
      </c>
      <c r="G90" s="1" t="s">
        <v>862</v>
      </c>
      <c r="H90" s="1" t="s">
        <v>1170</v>
      </c>
      <c r="I90" s="1" t="s">
        <v>1087</v>
      </c>
      <c r="J90">
        <v>2114</v>
      </c>
      <c r="K90" s="1" t="str">
        <f>_xlfn.CONCAT(uslugi49[[#This Row],[ozn]:[nr]])</f>
        <v>RTA279H</v>
      </c>
      <c r="L90" s="1">
        <f>IF(VLOOKUP(uslugi49[[#This Row],[NIP]],nip_firm610[],2,FALSE)="BARTEX",1,0)</f>
        <v>0</v>
      </c>
    </row>
    <row r="91" spans="1:12" x14ac:dyDescent="0.25">
      <c r="A91" s="2" t="s">
        <v>245</v>
      </c>
      <c r="B91" s="3" t="s">
        <v>246</v>
      </c>
      <c r="C91" s="3" t="s">
        <v>247</v>
      </c>
      <c r="D91" s="4" t="s">
        <v>7</v>
      </c>
      <c r="F91">
        <v>1939065269</v>
      </c>
      <c r="G91" s="1" t="s">
        <v>636</v>
      </c>
      <c r="H91" s="1" t="s">
        <v>1171</v>
      </c>
      <c r="I91" s="1" t="s">
        <v>1081</v>
      </c>
      <c r="J91">
        <v>2390</v>
      </c>
      <c r="K91" s="1" t="str">
        <f>_xlfn.CONCAT(uslugi49[[#This Row],[ozn]:[nr]])</f>
        <v>PO3941D</v>
      </c>
      <c r="L91" s="1">
        <f>IF(VLOOKUP(uslugi49[[#This Row],[NIP]],nip_firm610[],2,FALSE)="BARTEX",1,0)</f>
        <v>0</v>
      </c>
    </row>
    <row r="92" spans="1:12" x14ac:dyDescent="0.25">
      <c r="A92" s="5" t="s">
        <v>248</v>
      </c>
      <c r="B92" s="6" t="s">
        <v>249</v>
      </c>
      <c r="C92" s="6" t="s">
        <v>249</v>
      </c>
      <c r="D92" s="7" t="s">
        <v>22</v>
      </c>
      <c r="F92">
        <v>1820566794</v>
      </c>
      <c r="G92" s="1" t="s">
        <v>604</v>
      </c>
      <c r="H92" s="1" t="s">
        <v>1172</v>
      </c>
      <c r="I92" s="1" t="s">
        <v>1081</v>
      </c>
      <c r="J92">
        <v>1932</v>
      </c>
      <c r="K92" s="1" t="str">
        <f>_xlfn.CONCAT(uslugi49[[#This Row],[ozn]:[nr]])</f>
        <v>PP27304</v>
      </c>
      <c r="L92" s="1">
        <f>IF(VLOOKUP(uslugi49[[#This Row],[NIP]],nip_firm610[],2,FALSE)="BARTEX",1,0)</f>
        <v>0</v>
      </c>
    </row>
    <row r="93" spans="1:12" x14ac:dyDescent="0.25">
      <c r="A93" s="2" t="s">
        <v>250</v>
      </c>
      <c r="B93" s="3" t="s">
        <v>251</v>
      </c>
      <c r="C93" s="3" t="s">
        <v>252</v>
      </c>
      <c r="D93" s="4" t="s">
        <v>7</v>
      </c>
      <c r="F93">
        <v>4241680809</v>
      </c>
      <c r="G93" s="1" t="s">
        <v>636</v>
      </c>
      <c r="H93" s="1" t="s">
        <v>1173</v>
      </c>
      <c r="I93" s="1" t="s">
        <v>1081</v>
      </c>
      <c r="J93">
        <v>2720</v>
      </c>
      <c r="K93" s="1" t="str">
        <f>_xlfn.CONCAT(uslugi49[[#This Row],[ozn]:[nr]])</f>
        <v>PORD345</v>
      </c>
      <c r="L93" s="1">
        <f>IF(VLOOKUP(uslugi49[[#This Row],[NIP]],nip_firm610[],2,FALSE)="BARTEX",1,0)</f>
        <v>0</v>
      </c>
    </row>
    <row r="94" spans="1:12" x14ac:dyDescent="0.25">
      <c r="A94" s="5" t="s">
        <v>253</v>
      </c>
      <c r="B94" s="6" t="s">
        <v>254</v>
      </c>
      <c r="C94" s="6" t="s">
        <v>254</v>
      </c>
      <c r="D94" s="7" t="s">
        <v>22</v>
      </c>
      <c r="F94">
        <v>4458233905</v>
      </c>
      <c r="G94" s="1" t="s">
        <v>1003</v>
      </c>
      <c r="H94" s="1" t="s">
        <v>1174</v>
      </c>
      <c r="I94" s="1" t="s">
        <v>1081</v>
      </c>
      <c r="J94">
        <v>2478</v>
      </c>
      <c r="K94" s="1" t="str">
        <f>_xlfn.CONCAT(uslugi49[[#This Row],[ozn]:[nr]])</f>
        <v>DW4356G</v>
      </c>
      <c r="L94" s="1">
        <f>IF(VLOOKUP(uslugi49[[#This Row],[NIP]],nip_firm610[],2,FALSE)="BARTEX",1,0)</f>
        <v>0</v>
      </c>
    </row>
    <row r="95" spans="1:12" x14ac:dyDescent="0.25">
      <c r="A95" s="2" t="s">
        <v>255</v>
      </c>
      <c r="B95" s="3" t="s">
        <v>256</v>
      </c>
      <c r="C95" s="3" t="s">
        <v>254</v>
      </c>
      <c r="D95" s="4" t="s">
        <v>7</v>
      </c>
      <c r="F95">
        <v>1433397952</v>
      </c>
      <c r="G95" s="1" t="s">
        <v>314</v>
      </c>
      <c r="H95" s="1" t="s">
        <v>1175</v>
      </c>
      <c r="I95" s="1" t="s">
        <v>1087</v>
      </c>
      <c r="J95">
        <v>2434</v>
      </c>
      <c r="K95" s="1" t="str">
        <f>_xlfn.CONCAT(uslugi49[[#This Row],[ozn]:[nr]])</f>
        <v>PN16836</v>
      </c>
      <c r="L95" s="1">
        <f>IF(VLOOKUP(uslugi49[[#This Row],[NIP]],nip_firm610[],2,FALSE)="BARTEX",1,0)</f>
        <v>1</v>
      </c>
    </row>
    <row r="96" spans="1:12" x14ac:dyDescent="0.25">
      <c r="A96" s="5" t="s">
        <v>257</v>
      </c>
      <c r="B96" s="6" t="s">
        <v>258</v>
      </c>
      <c r="C96" s="6" t="s">
        <v>259</v>
      </c>
      <c r="D96" s="7" t="s">
        <v>7</v>
      </c>
      <c r="F96">
        <v>4779174699</v>
      </c>
      <c r="G96" s="1" t="s">
        <v>1003</v>
      </c>
      <c r="H96" s="1" t="s">
        <v>1176</v>
      </c>
      <c r="I96" s="1" t="s">
        <v>1081</v>
      </c>
      <c r="J96">
        <v>2992</v>
      </c>
      <c r="K96" s="1" t="str">
        <f>_xlfn.CONCAT(uslugi49[[#This Row],[ozn]:[nr]])</f>
        <v>DW3851Q</v>
      </c>
      <c r="L96" s="1">
        <f>IF(VLOOKUP(uslugi49[[#This Row],[NIP]],nip_firm610[],2,FALSE)="BARTEX",1,0)</f>
        <v>0</v>
      </c>
    </row>
    <row r="97" spans="1:12" x14ac:dyDescent="0.25">
      <c r="A97" s="2" t="s">
        <v>260</v>
      </c>
      <c r="B97" s="3" t="s">
        <v>259</v>
      </c>
      <c r="C97" s="3" t="s">
        <v>259</v>
      </c>
      <c r="D97" s="4" t="s">
        <v>22</v>
      </c>
      <c r="F97">
        <v>5459753232</v>
      </c>
      <c r="G97" s="1" t="s">
        <v>737</v>
      </c>
      <c r="H97" s="1" t="s">
        <v>1177</v>
      </c>
      <c r="I97" s="1" t="s">
        <v>1087</v>
      </c>
      <c r="J97">
        <v>1860</v>
      </c>
      <c r="K97" s="1" t="str">
        <f>_xlfn.CONCAT(uslugi49[[#This Row],[ozn]:[nr]])</f>
        <v>BSI24880</v>
      </c>
      <c r="L97" s="1">
        <f>IF(VLOOKUP(uslugi49[[#This Row],[NIP]],nip_firm610[],2,FALSE)="BARTEX",1,0)</f>
        <v>0</v>
      </c>
    </row>
    <row r="98" spans="1:12" x14ac:dyDescent="0.25">
      <c r="A98" s="5" t="s">
        <v>261</v>
      </c>
      <c r="B98" s="6" t="s">
        <v>262</v>
      </c>
      <c r="C98" s="6" t="s">
        <v>263</v>
      </c>
      <c r="D98" s="7" t="s">
        <v>7</v>
      </c>
      <c r="F98">
        <v>3318203338</v>
      </c>
      <c r="G98" s="1" t="s">
        <v>636</v>
      </c>
      <c r="H98" s="1" t="s">
        <v>1178</v>
      </c>
      <c r="I98" s="1" t="s">
        <v>1081</v>
      </c>
      <c r="J98">
        <v>2427</v>
      </c>
      <c r="K98" s="1" t="str">
        <f>_xlfn.CONCAT(uslugi49[[#This Row],[ozn]:[nr]])</f>
        <v>POLF354</v>
      </c>
      <c r="L98" s="1">
        <f>IF(VLOOKUP(uslugi49[[#This Row],[NIP]],nip_firm610[],2,FALSE)="BARTEX",1,0)</f>
        <v>0</v>
      </c>
    </row>
    <row r="99" spans="1:12" x14ac:dyDescent="0.25">
      <c r="A99" s="2" t="s">
        <v>264</v>
      </c>
      <c r="B99" s="3" t="s">
        <v>265</v>
      </c>
      <c r="C99" s="3" t="s">
        <v>266</v>
      </c>
      <c r="D99" s="4" t="s">
        <v>7</v>
      </c>
      <c r="F99">
        <v>5514533376</v>
      </c>
      <c r="G99" s="1" t="s">
        <v>40</v>
      </c>
      <c r="H99" s="1" t="s">
        <v>1179</v>
      </c>
      <c r="I99" s="1" t="s">
        <v>1087</v>
      </c>
      <c r="J99">
        <v>2926</v>
      </c>
      <c r="K99" s="1" t="str">
        <f>_xlfn.CONCAT(uslugi49[[#This Row],[ozn]:[nr]])</f>
        <v>SB26294</v>
      </c>
      <c r="L99" s="1">
        <f>IF(VLOOKUP(uslugi49[[#This Row],[NIP]],nip_firm610[],2,FALSE)="BARTEX",1,0)</f>
        <v>0</v>
      </c>
    </row>
    <row r="100" spans="1:12" x14ac:dyDescent="0.25">
      <c r="A100" s="5" t="s">
        <v>267</v>
      </c>
      <c r="B100" s="6" t="s">
        <v>268</v>
      </c>
      <c r="C100" s="6" t="s">
        <v>269</v>
      </c>
      <c r="D100" s="7" t="s">
        <v>7</v>
      </c>
      <c r="F100">
        <v>5418968184</v>
      </c>
      <c r="G100" s="1" t="s">
        <v>636</v>
      </c>
      <c r="H100" s="1" t="s">
        <v>1180</v>
      </c>
      <c r="I100" s="1" t="s">
        <v>1087</v>
      </c>
      <c r="J100">
        <v>1902</v>
      </c>
      <c r="K100" s="1" t="str">
        <f>_xlfn.CONCAT(uslugi49[[#This Row],[ozn]:[nr]])</f>
        <v>POO68AY</v>
      </c>
      <c r="L100" s="1">
        <f>IF(VLOOKUP(uslugi49[[#This Row],[NIP]],nip_firm610[],2,FALSE)="BARTEX",1,0)</f>
        <v>0</v>
      </c>
    </row>
    <row r="101" spans="1:12" x14ac:dyDescent="0.25">
      <c r="A101" s="2" t="s">
        <v>270</v>
      </c>
      <c r="B101" s="3" t="s">
        <v>271</v>
      </c>
      <c r="C101" s="3" t="s">
        <v>271</v>
      </c>
      <c r="D101" s="4" t="s">
        <v>22</v>
      </c>
      <c r="F101">
        <v>4956781088</v>
      </c>
      <c r="G101" s="1" t="s">
        <v>184</v>
      </c>
      <c r="H101" s="1" t="s">
        <v>1181</v>
      </c>
      <c r="I101" s="1" t="s">
        <v>1081</v>
      </c>
      <c r="J101">
        <v>1929</v>
      </c>
      <c r="K101" s="1" t="str">
        <f>_xlfn.CONCAT(uslugi49[[#This Row],[ozn]:[nr]])</f>
        <v>DGRV720</v>
      </c>
      <c r="L101" s="1">
        <f>IF(VLOOKUP(uslugi49[[#This Row],[NIP]],nip_firm610[],2,FALSE)="BARTEX",1,0)</f>
        <v>0</v>
      </c>
    </row>
    <row r="102" spans="1:12" x14ac:dyDescent="0.25">
      <c r="A102" s="5" t="s">
        <v>272</v>
      </c>
      <c r="B102" s="6" t="s">
        <v>273</v>
      </c>
      <c r="C102" s="6" t="s">
        <v>274</v>
      </c>
      <c r="D102" s="7" t="s">
        <v>7</v>
      </c>
      <c r="F102">
        <v>4241680809</v>
      </c>
      <c r="G102" s="1" t="s">
        <v>636</v>
      </c>
      <c r="H102" s="1" t="s">
        <v>1182</v>
      </c>
      <c r="I102" s="1" t="s">
        <v>1081</v>
      </c>
      <c r="J102">
        <v>3056</v>
      </c>
      <c r="K102" s="1" t="str">
        <f>_xlfn.CONCAT(uslugi49[[#This Row],[ozn]:[nr]])</f>
        <v>PORL351</v>
      </c>
      <c r="L102" s="1">
        <f>IF(VLOOKUP(uslugi49[[#This Row],[NIP]],nip_firm610[],2,FALSE)="BARTEX",1,0)</f>
        <v>0</v>
      </c>
    </row>
    <row r="103" spans="1:12" x14ac:dyDescent="0.25">
      <c r="A103" s="2" t="s">
        <v>275</v>
      </c>
      <c r="B103" s="3" t="s">
        <v>276</v>
      </c>
      <c r="C103" s="3" t="s">
        <v>277</v>
      </c>
      <c r="D103" s="4" t="s">
        <v>7</v>
      </c>
      <c r="F103">
        <v>2599394621</v>
      </c>
      <c r="G103" s="1" t="s">
        <v>636</v>
      </c>
      <c r="H103" s="1" t="s">
        <v>1183</v>
      </c>
      <c r="I103" s="1" t="s">
        <v>1087</v>
      </c>
      <c r="J103">
        <v>2818</v>
      </c>
      <c r="K103" s="1" t="str">
        <f>_xlfn.CONCAT(uslugi49[[#This Row],[ozn]:[nr]])</f>
        <v>POCS552</v>
      </c>
      <c r="L103" s="1">
        <f>IF(VLOOKUP(uslugi49[[#This Row],[NIP]],nip_firm610[],2,FALSE)="BARTEX",1,0)</f>
        <v>0</v>
      </c>
    </row>
    <row r="104" spans="1:12" x14ac:dyDescent="0.25">
      <c r="A104" s="5" t="s">
        <v>278</v>
      </c>
      <c r="B104" s="6" t="s">
        <v>279</v>
      </c>
      <c r="C104" s="6" t="s">
        <v>280</v>
      </c>
      <c r="D104" s="7" t="s">
        <v>7</v>
      </c>
      <c r="F104">
        <v>5115061689</v>
      </c>
      <c r="G104" s="1" t="s">
        <v>702</v>
      </c>
      <c r="H104" s="1" t="s">
        <v>1184</v>
      </c>
      <c r="I104" s="1" t="s">
        <v>1081</v>
      </c>
      <c r="J104">
        <v>3144</v>
      </c>
      <c r="K104" s="1" t="str">
        <f>_xlfn.CONCAT(uslugi49[[#This Row],[ozn]:[nr]])</f>
        <v>SL16892</v>
      </c>
      <c r="L104" s="1">
        <f>IF(VLOOKUP(uslugi49[[#This Row],[NIP]],nip_firm610[],2,FALSE)="BARTEX",1,0)</f>
        <v>0</v>
      </c>
    </row>
    <row r="105" spans="1:12" x14ac:dyDescent="0.25">
      <c r="A105" s="2" t="s">
        <v>281</v>
      </c>
      <c r="B105" s="3" t="s">
        <v>282</v>
      </c>
      <c r="C105" s="3" t="s">
        <v>283</v>
      </c>
      <c r="D105" s="4" t="s">
        <v>7</v>
      </c>
      <c r="F105">
        <v>3568004264</v>
      </c>
      <c r="G105" s="1" t="s">
        <v>428</v>
      </c>
      <c r="H105" s="1" t="s">
        <v>1185</v>
      </c>
      <c r="I105" s="1" t="s">
        <v>1087</v>
      </c>
      <c r="J105">
        <v>3060</v>
      </c>
      <c r="K105" s="1" t="str">
        <f>_xlfn.CONCAT(uslugi49[[#This Row],[ozn]:[nr]])</f>
        <v>LUB65ED</v>
      </c>
      <c r="L105" s="1">
        <f>IF(VLOOKUP(uslugi49[[#This Row],[NIP]],nip_firm610[],2,FALSE)="BARTEX",1,0)</f>
        <v>0</v>
      </c>
    </row>
    <row r="106" spans="1:12" x14ac:dyDescent="0.25">
      <c r="A106" s="5" t="s">
        <v>284</v>
      </c>
      <c r="B106" s="6" t="s">
        <v>285</v>
      </c>
      <c r="C106" s="6" t="s">
        <v>285</v>
      </c>
      <c r="D106" s="7" t="s">
        <v>22</v>
      </c>
      <c r="F106">
        <v>3470453173</v>
      </c>
      <c r="G106" s="1" t="s">
        <v>85</v>
      </c>
      <c r="H106" s="1" t="s">
        <v>1186</v>
      </c>
      <c r="I106" s="1" t="s">
        <v>1081</v>
      </c>
      <c r="J106">
        <v>1866</v>
      </c>
      <c r="K106" s="1" t="str">
        <f>_xlfn.CONCAT(uslugi49[[#This Row],[ozn]:[nr]])</f>
        <v>LC7897N</v>
      </c>
      <c r="L106" s="1">
        <f>IF(VLOOKUP(uslugi49[[#This Row],[NIP]],nip_firm610[],2,FALSE)="BARTEX",1,0)</f>
        <v>0</v>
      </c>
    </row>
    <row r="107" spans="1:12" x14ac:dyDescent="0.25">
      <c r="A107" s="2" t="s">
        <v>286</v>
      </c>
      <c r="B107" s="3" t="s">
        <v>287</v>
      </c>
      <c r="C107" s="3" t="s">
        <v>285</v>
      </c>
      <c r="D107" s="4" t="s">
        <v>7</v>
      </c>
      <c r="F107">
        <v>2119268767</v>
      </c>
      <c r="G107" s="1" t="s">
        <v>141</v>
      </c>
      <c r="H107" s="1" t="s">
        <v>1187</v>
      </c>
      <c r="I107" s="1" t="s">
        <v>1087</v>
      </c>
      <c r="J107">
        <v>2928</v>
      </c>
      <c r="K107" s="1" t="str">
        <f>_xlfn.CONCAT(uslugi49[[#This Row],[ozn]:[nr]])</f>
        <v>NEBT606</v>
      </c>
      <c r="L107" s="1">
        <f>IF(VLOOKUP(uslugi49[[#This Row],[NIP]],nip_firm610[],2,FALSE)="BARTEX",1,0)</f>
        <v>0</v>
      </c>
    </row>
    <row r="108" spans="1:12" x14ac:dyDescent="0.25">
      <c r="A108" s="5" t="s">
        <v>288</v>
      </c>
      <c r="B108" s="6" t="s">
        <v>289</v>
      </c>
      <c r="C108" s="6" t="s">
        <v>290</v>
      </c>
      <c r="D108" s="7" t="s">
        <v>7</v>
      </c>
      <c r="F108">
        <v>1246489959</v>
      </c>
      <c r="G108" s="1" t="s">
        <v>636</v>
      </c>
      <c r="H108" s="1" t="s">
        <v>1188</v>
      </c>
      <c r="I108" s="1" t="s">
        <v>1087</v>
      </c>
      <c r="J108">
        <v>2590</v>
      </c>
      <c r="K108" s="1" t="str">
        <f>_xlfn.CONCAT(uslugi49[[#This Row],[ozn]:[nr]])</f>
        <v>POM54EB</v>
      </c>
      <c r="L108" s="1">
        <f>IF(VLOOKUP(uslugi49[[#This Row],[NIP]],nip_firm610[],2,FALSE)="BARTEX",1,0)</f>
        <v>0</v>
      </c>
    </row>
    <row r="109" spans="1:12" x14ac:dyDescent="0.25">
      <c r="A109" s="2" t="s">
        <v>291</v>
      </c>
      <c r="B109" s="3" t="s">
        <v>292</v>
      </c>
      <c r="C109" s="3" t="s">
        <v>293</v>
      </c>
      <c r="D109" s="4" t="s">
        <v>7</v>
      </c>
      <c r="F109">
        <v>4779174699</v>
      </c>
      <c r="G109" s="1" t="s">
        <v>1003</v>
      </c>
      <c r="H109" s="1" t="s">
        <v>1189</v>
      </c>
      <c r="I109" s="1" t="s">
        <v>1081</v>
      </c>
      <c r="J109">
        <v>2445</v>
      </c>
      <c r="K109" s="1" t="str">
        <f>_xlfn.CONCAT(uslugi49[[#This Row],[ozn]:[nr]])</f>
        <v>DW3871D</v>
      </c>
      <c r="L109" s="1">
        <f>IF(VLOOKUP(uslugi49[[#This Row],[NIP]],nip_firm610[],2,FALSE)="BARTEX",1,0)</f>
        <v>0</v>
      </c>
    </row>
    <row r="110" spans="1:12" x14ac:dyDescent="0.25">
      <c r="A110" s="5" t="s">
        <v>294</v>
      </c>
      <c r="B110" s="6" t="s">
        <v>295</v>
      </c>
      <c r="C110" s="6" t="s">
        <v>296</v>
      </c>
      <c r="D110" s="7" t="s">
        <v>7</v>
      </c>
      <c r="F110">
        <v>4715154852</v>
      </c>
      <c r="G110" s="1" t="s">
        <v>1003</v>
      </c>
      <c r="H110" s="1" t="s">
        <v>1190</v>
      </c>
      <c r="I110" s="1" t="s">
        <v>1081</v>
      </c>
      <c r="J110">
        <v>2780</v>
      </c>
      <c r="K110" s="1" t="str">
        <f>_xlfn.CONCAT(uslugi49[[#This Row],[ozn]:[nr]])</f>
        <v>DW579W</v>
      </c>
      <c r="L110" s="1">
        <f>IF(VLOOKUP(uslugi49[[#This Row],[NIP]],nip_firm610[],2,FALSE)="BARTEX",1,0)</f>
        <v>0</v>
      </c>
    </row>
    <row r="111" spans="1:12" x14ac:dyDescent="0.25">
      <c r="A111" s="2" t="s">
        <v>297</v>
      </c>
      <c r="B111" s="3" t="s">
        <v>298</v>
      </c>
      <c r="C111" s="3" t="s">
        <v>299</v>
      </c>
      <c r="D111" s="4" t="s">
        <v>7</v>
      </c>
      <c r="F111">
        <v>3568004264</v>
      </c>
      <c r="G111" s="1" t="s">
        <v>428</v>
      </c>
      <c r="H111" s="1" t="s">
        <v>1191</v>
      </c>
      <c r="I111" s="1" t="s">
        <v>1081</v>
      </c>
      <c r="J111">
        <v>2720</v>
      </c>
      <c r="K111" s="1" t="str">
        <f>_xlfn.CONCAT(uslugi49[[#This Row],[ozn]:[nr]])</f>
        <v>LUB61XF</v>
      </c>
      <c r="L111" s="1">
        <f>IF(VLOOKUP(uslugi49[[#This Row],[NIP]],nip_firm610[],2,FALSE)="BARTEX",1,0)</f>
        <v>0</v>
      </c>
    </row>
    <row r="112" spans="1:12" x14ac:dyDescent="0.25">
      <c r="A112" s="5" t="s">
        <v>300</v>
      </c>
      <c r="B112" s="6" t="s">
        <v>301</v>
      </c>
      <c r="C112" s="6" t="s">
        <v>302</v>
      </c>
      <c r="D112" s="7" t="s">
        <v>7</v>
      </c>
      <c r="F112">
        <v>5514533376</v>
      </c>
      <c r="G112" s="1" t="s">
        <v>40</v>
      </c>
      <c r="H112" s="1" t="s">
        <v>1192</v>
      </c>
      <c r="I112" s="1" t="s">
        <v>1087</v>
      </c>
      <c r="J112">
        <v>2136</v>
      </c>
      <c r="K112" s="1" t="str">
        <f>_xlfn.CONCAT(uslugi49[[#This Row],[ozn]:[nr]])</f>
        <v>SB26092</v>
      </c>
      <c r="L112" s="1">
        <f>IF(VLOOKUP(uslugi49[[#This Row],[NIP]],nip_firm610[],2,FALSE)="BARTEX",1,0)</f>
        <v>0</v>
      </c>
    </row>
    <row r="113" spans="1:12" x14ac:dyDescent="0.25">
      <c r="A113" s="2" t="s">
        <v>303</v>
      </c>
      <c r="B113" s="3" t="s">
        <v>304</v>
      </c>
      <c r="C113" s="3" t="s">
        <v>305</v>
      </c>
      <c r="D113" s="4" t="s">
        <v>7</v>
      </c>
      <c r="F113">
        <v>5528435390</v>
      </c>
      <c r="G113" s="1" t="s">
        <v>636</v>
      </c>
      <c r="H113" s="1" t="s">
        <v>1193</v>
      </c>
      <c r="I113" s="1" t="s">
        <v>1081</v>
      </c>
      <c r="J113">
        <v>2328</v>
      </c>
      <c r="K113" s="1" t="str">
        <f>_xlfn.CONCAT(uslugi49[[#This Row],[ozn]:[nr]])</f>
        <v>POA44GU</v>
      </c>
      <c r="L113" s="1">
        <f>IF(VLOOKUP(uslugi49[[#This Row],[NIP]],nip_firm610[],2,FALSE)="BARTEX",1,0)</f>
        <v>0</v>
      </c>
    </row>
    <row r="114" spans="1:12" x14ac:dyDescent="0.25">
      <c r="A114" s="5" t="s">
        <v>306</v>
      </c>
      <c r="B114" s="6" t="s">
        <v>307</v>
      </c>
      <c r="C114" s="6" t="s">
        <v>308</v>
      </c>
      <c r="D114" s="7" t="s">
        <v>7</v>
      </c>
      <c r="F114">
        <v>4779174699</v>
      </c>
      <c r="G114" s="1" t="s">
        <v>1003</v>
      </c>
      <c r="H114" s="1" t="s">
        <v>1194</v>
      </c>
      <c r="I114" s="1" t="s">
        <v>1081</v>
      </c>
      <c r="J114">
        <v>2920</v>
      </c>
      <c r="K114" s="1" t="str">
        <f>_xlfn.CONCAT(uslugi49[[#This Row],[ozn]:[nr]])</f>
        <v>DW16842</v>
      </c>
      <c r="L114" s="1">
        <f>IF(VLOOKUP(uslugi49[[#This Row],[NIP]],nip_firm610[],2,FALSE)="BARTEX",1,0)</f>
        <v>0</v>
      </c>
    </row>
    <row r="115" spans="1:12" x14ac:dyDescent="0.25">
      <c r="A115" s="2" t="s">
        <v>309</v>
      </c>
      <c r="B115" s="3" t="s">
        <v>310</v>
      </c>
      <c r="C115" s="3" t="s">
        <v>311</v>
      </c>
      <c r="D115" s="4" t="s">
        <v>7</v>
      </c>
      <c r="F115">
        <v>4326751508</v>
      </c>
      <c r="G115" s="1" t="s">
        <v>405</v>
      </c>
      <c r="H115" s="1" t="s">
        <v>1195</v>
      </c>
      <c r="I115" s="1" t="s">
        <v>1087</v>
      </c>
      <c r="J115">
        <v>3324</v>
      </c>
      <c r="K115" s="1" t="str">
        <f>_xlfn.CONCAT(uslugi49[[#This Row],[ozn]:[nr]])</f>
        <v>EL64243</v>
      </c>
      <c r="L115" s="1">
        <f>IF(VLOOKUP(uslugi49[[#This Row],[NIP]],nip_firm610[],2,FALSE)="BARTEX",1,0)</f>
        <v>0</v>
      </c>
    </row>
    <row r="116" spans="1:12" x14ac:dyDescent="0.25">
      <c r="A116" s="5" t="s">
        <v>312</v>
      </c>
      <c r="B116" s="6" t="s">
        <v>313</v>
      </c>
      <c r="C116" s="6" t="s">
        <v>313</v>
      </c>
      <c r="D116" s="7" t="s">
        <v>22</v>
      </c>
      <c r="F116">
        <v>1620242236</v>
      </c>
      <c r="G116" s="1" t="s">
        <v>314</v>
      </c>
      <c r="H116" s="1" t="s">
        <v>1196</v>
      </c>
      <c r="I116" s="1" t="s">
        <v>1081</v>
      </c>
      <c r="J116">
        <v>2915</v>
      </c>
      <c r="K116" s="1" t="str">
        <f>_xlfn.CONCAT(uslugi49[[#This Row],[ozn]:[nr]])</f>
        <v>PN16906</v>
      </c>
      <c r="L116" s="1">
        <f>IF(VLOOKUP(uslugi49[[#This Row],[NIP]],nip_firm610[],2,FALSE)="BARTEX",1,0)</f>
        <v>0</v>
      </c>
    </row>
    <row r="117" spans="1:12" x14ac:dyDescent="0.25">
      <c r="A117" s="2" t="s">
        <v>314</v>
      </c>
      <c r="B117" s="3" t="s">
        <v>313</v>
      </c>
      <c r="C117" s="3" t="s">
        <v>313</v>
      </c>
      <c r="D117" s="4" t="s">
        <v>22</v>
      </c>
      <c r="F117">
        <v>6758177505</v>
      </c>
      <c r="G117" s="1" t="s">
        <v>862</v>
      </c>
      <c r="H117" s="1" t="s">
        <v>1197</v>
      </c>
      <c r="I117" s="1" t="s">
        <v>1087</v>
      </c>
      <c r="J117">
        <v>1930</v>
      </c>
      <c r="K117" s="1" t="str">
        <f>_xlfn.CONCAT(uslugi49[[#This Row],[ozn]:[nr]])</f>
        <v>RTA556V</v>
      </c>
      <c r="L117" s="1">
        <f>IF(VLOOKUP(uslugi49[[#This Row],[NIP]],nip_firm610[],2,FALSE)="BARTEX",1,0)</f>
        <v>0</v>
      </c>
    </row>
    <row r="118" spans="1:12" x14ac:dyDescent="0.25">
      <c r="A118" s="5" t="s">
        <v>315</v>
      </c>
      <c r="B118" s="6" t="s">
        <v>316</v>
      </c>
      <c r="C118" s="6" t="s">
        <v>313</v>
      </c>
      <c r="D118" s="7" t="s">
        <v>7</v>
      </c>
      <c r="F118">
        <v>6727559092</v>
      </c>
      <c r="G118" s="1" t="s">
        <v>862</v>
      </c>
      <c r="H118" s="1" t="s">
        <v>1198</v>
      </c>
      <c r="I118" s="1" t="s">
        <v>1087</v>
      </c>
      <c r="J118">
        <v>2361</v>
      </c>
      <c r="K118" s="1" t="str">
        <f>_xlfn.CONCAT(uslugi49[[#This Row],[ozn]:[nr]])</f>
        <v>RTA246F</v>
      </c>
      <c r="L118" s="1">
        <f>IF(VLOOKUP(uslugi49[[#This Row],[NIP]],nip_firm610[],2,FALSE)="BARTEX",1,0)</f>
        <v>0</v>
      </c>
    </row>
    <row r="119" spans="1:12" x14ac:dyDescent="0.25">
      <c r="A119" s="2" t="s">
        <v>317</v>
      </c>
      <c r="B119" s="3" t="s">
        <v>318</v>
      </c>
      <c r="C119" s="3" t="s">
        <v>319</v>
      </c>
      <c r="D119" s="4" t="s">
        <v>7</v>
      </c>
      <c r="F119">
        <v>4241680809</v>
      </c>
      <c r="G119" s="1" t="s">
        <v>636</v>
      </c>
      <c r="H119" s="1" t="s">
        <v>1199</v>
      </c>
      <c r="I119" s="1" t="s">
        <v>1087</v>
      </c>
      <c r="J119">
        <v>1863</v>
      </c>
      <c r="K119" s="1" t="str">
        <f>_xlfn.CONCAT(uslugi49[[#This Row],[ozn]:[nr]])</f>
        <v>POR79LM</v>
      </c>
      <c r="L119" s="1">
        <f>IF(VLOOKUP(uslugi49[[#This Row],[NIP]],nip_firm610[],2,FALSE)="BARTEX",1,0)</f>
        <v>0</v>
      </c>
    </row>
    <row r="120" spans="1:12" x14ac:dyDescent="0.25">
      <c r="A120" s="5" t="s">
        <v>320</v>
      </c>
      <c r="B120" s="6" t="s">
        <v>321</v>
      </c>
      <c r="C120" s="6" t="s">
        <v>322</v>
      </c>
      <c r="D120" s="7" t="s">
        <v>7</v>
      </c>
      <c r="F120">
        <v>4326751508</v>
      </c>
      <c r="G120" s="1" t="s">
        <v>40</v>
      </c>
      <c r="H120" s="1" t="s">
        <v>1200</v>
      </c>
      <c r="I120" s="1" t="s">
        <v>1081</v>
      </c>
      <c r="J120">
        <v>2420</v>
      </c>
      <c r="K120" s="1" t="str">
        <f>_xlfn.CONCAT(uslugi49[[#This Row],[ozn]:[nr]])</f>
        <v>SB48689</v>
      </c>
      <c r="L120" s="1">
        <f>IF(VLOOKUP(uslugi49[[#This Row],[NIP]],nip_firm610[],2,FALSE)="BARTEX",1,0)</f>
        <v>0</v>
      </c>
    </row>
    <row r="121" spans="1:12" x14ac:dyDescent="0.25">
      <c r="A121" s="2" t="s">
        <v>323</v>
      </c>
      <c r="B121" s="3" t="s">
        <v>324</v>
      </c>
      <c r="C121" s="3" t="s">
        <v>324</v>
      </c>
      <c r="D121" s="4" t="s">
        <v>22</v>
      </c>
      <c r="F121">
        <v>3470453173</v>
      </c>
      <c r="G121" s="1" t="s">
        <v>85</v>
      </c>
      <c r="H121" s="1" t="s">
        <v>1201</v>
      </c>
      <c r="I121" s="1" t="s">
        <v>1087</v>
      </c>
      <c r="J121">
        <v>2625</v>
      </c>
      <c r="K121" s="1" t="str">
        <f>_xlfn.CONCAT(uslugi49[[#This Row],[ozn]:[nr]])</f>
        <v>LC34572</v>
      </c>
      <c r="L121" s="1">
        <f>IF(VLOOKUP(uslugi49[[#This Row],[NIP]],nip_firm610[],2,FALSE)="BARTEX",1,0)</f>
        <v>0</v>
      </c>
    </row>
    <row r="122" spans="1:12" x14ac:dyDescent="0.25">
      <c r="A122" s="5" t="s">
        <v>325</v>
      </c>
      <c r="B122" s="6" t="s">
        <v>326</v>
      </c>
      <c r="C122" s="6" t="s">
        <v>324</v>
      </c>
      <c r="D122" s="7" t="s">
        <v>7</v>
      </c>
      <c r="F122">
        <v>3579231044</v>
      </c>
      <c r="G122" s="1" t="s">
        <v>370</v>
      </c>
      <c r="H122" s="1" t="s">
        <v>1202</v>
      </c>
      <c r="I122" s="1" t="s">
        <v>1087</v>
      </c>
      <c r="J122">
        <v>2314</v>
      </c>
      <c r="K122" s="1" t="str">
        <f>_xlfn.CONCAT(uslugi49[[#This Row],[ozn]:[nr]])</f>
        <v>LLEG712</v>
      </c>
      <c r="L122" s="1">
        <f>IF(VLOOKUP(uslugi49[[#This Row],[NIP]],nip_firm610[],2,FALSE)="BARTEX",1,0)</f>
        <v>0</v>
      </c>
    </row>
    <row r="123" spans="1:12" x14ac:dyDescent="0.25">
      <c r="A123" s="2" t="s">
        <v>327</v>
      </c>
      <c r="B123" s="3" t="s">
        <v>328</v>
      </c>
      <c r="C123" s="3" t="s">
        <v>329</v>
      </c>
      <c r="D123" s="4" t="s">
        <v>7</v>
      </c>
      <c r="F123">
        <v>2119268767</v>
      </c>
      <c r="G123" s="1" t="s">
        <v>141</v>
      </c>
      <c r="H123" s="1" t="s">
        <v>1203</v>
      </c>
      <c r="I123" s="1" t="s">
        <v>1087</v>
      </c>
      <c r="J123">
        <v>2340</v>
      </c>
      <c r="K123" s="1" t="str">
        <f>_xlfn.CONCAT(uslugi49[[#This Row],[ozn]:[nr]])</f>
        <v>NEB57SX</v>
      </c>
      <c r="L123" s="1">
        <f>IF(VLOOKUP(uslugi49[[#This Row],[NIP]],nip_firm610[],2,FALSE)="BARTEX",1,0)</f>
        <v>0</v>
      </c>
    </row>
    <row r="124" spans="1:12" x14ac:dyDescent="0.25">
      <c r="A124" s="5" t="s">
        <v>330</v>
      </c>
      <c r="B124" s="6" t="s">
        <v>331</v>
      </c>
      <c r="C124" s="6" t="s">
        <v>331</v>
      </c>
      <c r="D124" s="7" t="s">
        <v>22</v>
      </c>
      <c r="F124">
        <v>1620242236</v>
      </c>
      <c r="G124" s="1" t="s">
        <v>314</v>
      </c>
      <c r="H124" s="1" t="s">
        <v>1204</v>
      </c>
      <c r="I124" s="1" t="s">
        <v>1081</v>
      </c>
      <c r="J124">
        <v>2181</v>
      </c>
      <c r="K124" s="1" t="str">
        <f>_xlfn.CONCAT(uslugi49[[#This Row],[ozn]:[nr]])</f>
        <v>PN4101U</v>
      </c>
      <c r="L124" s="1">
        <f>IF(VLOOKUP(uslugi49[[#This Row],[NIP]],nip_firm610[],2,FALSE)="BARTEX",1,0)</f>
        <v>0</v>
      </c>
    </row>
    <row r="125" spans="1:12" x14ac:dyDescent="0.25">
      <c r="A125" s="2" t="s">
        <v>332</v>
      </c>
      <c r="B125" s="3" t="s">
        <v>333</v>
      </c>
      <c r="C125" s="3" t="s">
        <v>331</v>
      </c>
      <c r="D125" s="4" t="s">
        <v>7</v>
      </c>
      <c r="F125">
        <v>4326751508</v>
      </c>
      <c r="G125" s="1" t="s">
        <v>40</v>
      </c>
      <c r="H125" s="1" t="s">
        <v>1205</v>
      </c>
      <c r="I125" s="1" t="s">
        <v>1081</v>
      </c>
      <c r="J125">
        <v>2800</v>
      </c>
      <c r="K125" s="1" t="str">
        <f>_xlfn.CONCAT(uslugi49[[#This Row],[ozn]:[nr]])</f>
        <v>SB45356</v>
      </c>
      <c r="L125" s="1">
        <f>IF(VLOOKUP(uslugi49[[#This Row],[NIP]],nip_firm610[],2,FALSE)="BARTEX",1,0)</f>
        <v>0</v>
      </c>
    </row>
    <row r="126" spans="1:12" x14ac:dyDescent="0.25">
      <c r="A126" s="5" t="s">
        <v>334</v>
      </c>
      <c r="B126" s="6" t="s">
        <v>335</v>
      </c>
      <c r="C126" s="6" t="s">
        <v>336</v>
      </c>
      <c r="D126" s="7" t="s">
        <v>7</v>
      </c>
      <c r="F126">
        <v>1278408463</v>
      </c>
      <c r="G126" s="1" t="s">
        <v>312</v>
      </c>
      <c r="H126" s="1" t="s">
        <v>1206</v>
      </c>
      <c r="I126" s="1" t="s">
        <v>1087</v>
      </c>
      <c r="J126">
        <v>2589</v>
      </c>
      <c r="K126" s="1" t="str">
        <f>_xlfn.CONCAT(uslugi49[[#This Row],[ozn]:[nr]])</f>
        <v>PKO27LS</v>
      </c>
      <c r="L126" s="1">
        <f>IF(VLOOKUP(uslugi49[[#This Row],[NIP]],nip_firm610[],2,FALSE)="BARTEX",1,0)</f>
        <v>0</v>
      </c>
    </row>
    <row r="127" spans="1:12" x14ac:dyDescent="0.25">
      <c r="A127" s="2" t="s">
        <v>337</v>
      </c>
      <c r="B127" s="3" t="s">
        <v>338</v>
      </c>
      <c r="C127" s="3" t="s">
        <v>339</v>
      </c>
      <c r="D127" s="4" t="s">
        <v>7</v>
      </c>
      <c r="F127">
        <v>1939065269</v>
      </c>
      <c r="G127" s="1" t="s">
        <v>636</v>
      </c>
      <c r="H127" s="1" t="s">
        <v>1207</v>
      </c>
      <c r="I127" s="1" t="s">
        <v>1081</v>
      </c>
      <c r="J127">
        <v>2360</v>
      </c>
      <c r="K127" s="1" t="str">
        <f>_xlfn.CONCAT(uslugi49[[#This Row],[ozn]:[nr]])</f>
        <v>PO3931S</v>
      </c>
      <c r="L127" s="1">
        <f>IF(VLOOKUP(uslugi49[[#This Row],[NIP]],nip_firm610[],2,FALSE)="BARTEX",1,0)</f>
        <v>0</v>
      </c>
    </row>
    <row r="128" spans="1:12" x14ac:dyDescent="0.25">
      <c r="A128" s="5" t="s">
        <v>340</v>
      </c>
      <c r="B128" s="6" t="s">
        <v>341</v>
      </c>
      <c r="C128" s="6" t="s">
        <v>342</v>
      </c>
      <c r="D128" s="7" t="s">
        <v>7</v>
      </c>
      <c r="F128">
        <v>3783578981</v>
      </c>
      <c r="G128" s="1" t="s">
        <v>405</v>
      </c>
      <c r="H128" s="1" t="s">
        <v>1208</v>
      </c>
      <c r="I128" s="1" t="s">
        <v>1087</v>
      </c>
      <c r="J128">
        <v>2185</v>
      </c>
      <c r="K128" s="1" t="str">
        <f>_xlfn.CONCAT(uslugi49[[#This Row],[ozn]:[nr]])</f>
        <v>EL28314</v>
      </c>
      <c r="L128" s="1">
        <f>IF(VLOOKUP(uslugi49[[#This Row],[NIP]],nip_firm610[],2,FALSE)="BARTEX",1,0)</f>
        <v>0</v>
      </c>
    </row>
    <row r="129" spans="1:12" x14ac:dyDescent="0.25">
      <c r="A129" s="2" t="s">
        <v>343</v>
      </c>
      <c r="B129" s="3" t="s">
        <v>344</v>
      </c>
      <c r="C129" s="3" t="s">
        <v>345</v>
      </c>
      <c r="D129" s="4" t="s">
        <v>7</v>
      </c>
      <c r="F129">
        <v>4241680809</v>
      </c>
      <c r="G129" s="1" t="s">
        <v>636</v>
      </c>
      <c r="H129" s="1" t="s">
        <v>1209</v>
      </c>
      <c r="I129" s="1" t="s">
        <v>1081</v>
      </c>
      <c r="J129">
        <v>2319</v>
      </c>
      <c r="K129" s="1" t="str">
        <f>_xlfn.CONCAT(uslugi49[[#This Row],[ozn]:[nr]])</f>
        <v>PORK350</v>
      </c>
      <c r="L129" s="1">
        <f>IF(VLOOKUP(uslugi49[[#This Row],[NIP]],nip_firm610[],2,FALSE)="BARTEX",1,0)</f>
        <v>0</v>
      </c>
    </row>
    <row r="130" spans="1:12" x14ac:dyDescent="0.25">
      <c r="A130" s="5" t="s">
        <v>346</v>
      </c>
      <c r="B130" s="6" t="s">
        <v>344</v>
      </c>
      <c r="C130" s="6" t="s">
        <v>347</v>
      </c>
      <c r="D130" s="7" t="s">
        <v>7</v>
      </c>
      <c r="F130">
        <v>4761158900</v>
      </c>
      <c r="G130" s="1" t="s">
        <v>294</v>
      </c>
      <c r="H130" s="1" t="s">
        <v>1210</v>
      </c>
      <c r="I130" s="1" t="s">
        <v>1081</v>
      </c>
      <c r="J130">
        <v>2208</v>
      </c>
      <c r="K130" s="1" t="str">
        <f>_xlfn.CONCAT(uslugi49[[#This Row],[ozn]:[nr]])</f>
        <v>OKL86463</v>
      </c>
      <c r="L130" s="1">
        <f>IF(VLOOKUP(uslugi49[[#This Row],[NIP]],nip_firm610[],2,FALSE)="BARTEX",1,0)</f>
        <v>0</v>
      </c>
    </row>
    <row r="131" spans="1:12" x14ac:dyDescent="0.25">
      <c r="A131" s="2" t="s">
        <v>348</v>
      </c>
      <c r="B131" s="3" t="s">
        <v>345</v>
      </c>
      <c r="C131" s="3" t="s">
        <v>345</v>
      </c>
      <c r="D131" s="4" t="s">
        <v>22</v>
      </c>
      <c r="F131">
        <v>3866883575</v>
      </c>
      <c r="G131" s="1" t="s">
        <v>434</v>
      </c>
      <c r="H131" s="1" t="s">
        <v>1211</v>
      </c>
      <c r="I131" s="1" t="s">
        <v>1087</v>
      </c>
      <c r="J131">
        <v>1520</v>
      </c>
      <c r="K131" s="1" t="str">
        <f>_xlfn.CONCAT(uslugi49[[#This Row],[ozn]:[nr]])</f>
        <v>LU3581R</v>
      </c>
      <c r="L131" s="1">
        <f>IF(VLOOKUP(uslugi49[[#This Row],[NIP]],nip_firm610[],2,FALSE)="BARTEX",1,0)</f>
        <v>0</v>
      </c>
    </row>
    <row r="132" spans="1:12" x14ac:dyDescent="0.25">
      <c r="A132" s="5" t="s">
        <v>349</v>
      </c>
      <c r="B132" s="6" t="s">
        <v>350</v>
      </c>
      <c r="C132" s="6" t="s">
        <v>351</v>
      </c>
      <c r="D132" s="7" t="s">
        <v>7</v>
      </c>
      <c r="F132">
        <v>1127056356</v>
      </c>
      <c r="G132" s="1" t="s">
        <v>317</v>
      </c>
      <c r="H132" s="1" t="s">
        <v>1212</v>
      </c>
      <c r="I132" s="1" t="s">
        <v>1081</v>
      </c>
      <c r="J132">
        <v>2050</v>
      </c>
      <c r="K132" s="1" t="str">
        <f>_xlfn.CONCAT(uslugi49[[#This Row],[ozn]:[nr]])</f>
        <v>PKSS566</v>
      </c>
      <c r="L132" s="1">
        <f>IF(VLOOKUP(uslugi49[[#This Row],[NIP]],nip_firm610[],2,FALSE)="BARTEX",1,0)</f>
        <v>0</v>
      </c>
    </row>
    <row r="133" spans="1:12" x14ac:dyDescent="0.25">
      <c r="A133" s="2" t="s">
        <v>352</v>
      </c>
      <c r="B133" s="3" t="s">
        <v>353</v>
      </c>
      <c r="C133" s="3" t="s">
        <v>354</v>
      </c>
      <c r="D133" s="4" t="s">
        <v>7</v>
      </c>
      <c r="F133">
        <v>1620242236</v>
      </c>
      <c r="G133" s="1" t="s">
        <v>314</v>
      </c>
      <c r="H133" s="1" t="s">
        <v>1213</v>
      </c>
      <c r="I133" s="1" t="s">
        <v>1087</v>
      </c>
      <c r="J133">
        <v>2336</v>
      </c>
      <c r="K133" s="1" t="str">
        <f>_xlfn.CONCAT(uslugi49[[#This Row],[ozn]:[nr]])</f>
        <v>PN16904</v>
      </c>
      <c r="L133" s="1">
        <f>IF(VLOOKUP(uslugi49[[#This Row],[NIP]],nip_firm610[],2,FALSE)="BARTEX",1,0)</f>
        <v>0</v>
      </c>
    </row>
    <row r="134" spans="1:12" x14ac:dyDescent="0.25">
      <c r="A134" s="5" t="s">
        <v>355</v>
      </c>
      <c r="B134" s="6" t="s">
        <v>356</v>
      </c>
      <c r="C134" s="6" t="s">
        <v>357</v>
      </c>
      <c r="D134" s="7" t="s">
        <v>7</v>
      </c>
      <c r="F134">
        <v>6727559092</v>
      </c>
      <c r="G134" s="1" t="s">
        <v>862</v>
      </c>
      <c r="H134" s="1" t="s">
        <v>1214</v>
      </c>
      <c r="I134" s="1" t="s">
        <v>1087</v>
      </c>
      <c r="J134">
        <v>2034</v>
      </c>
      <c r="K134" s="1" t="str">
        <f>_xlfn.CONCAT(uslugi49[[#This Row],[ozn]:[nr]])</f>
        <v>RTA356J</v>
      </c>
      <c r="L134" s="1">
        <f>IF(VLOOKUP(uslugi49[[#This Row],[NIP]],nip_firm610[],2,FALSE)="BARTEX",1,0)</f>
        <v>0</v>
      </c>
    </row>
    <row r="135" spans="1:12" x14ac:dyDescent="0.25">
      <c r="A135" s="2" t="s">
        <v>358</v>
      </c>
      <c r="B135" s="3" t="s">
        <v>359</v>
      </c>
      <c r="C135" s="3" t="s">
        <v>360</v>
      </c>
      <c r="D135" s="4" t="s">
        <v>7</v>
      </c>
      <c r="F135">
        <v>3318203338</v>
      </c>
      <c r="G135" s="1" t="s">
        <v>636</v>
      </c>
      <c r="H135" s="1" t="s">
        <v>1215</v>
      </c>
      <c r="I135" s="1" t="s">
        <v>1087</v>
      </c>
      <c r="J135">
        <v>1900</v>
      </c>
      <c r="K135" s="1" t="str">
        <f>_xlfn.CONCAT(uslugi49[[#This Row],[ozn]:[nr]])</f>
        <v>POLD355</v>
      </c>
      <c r="L135" s="1">
        <f>IF(VLOOKUP(uslugi49[[#This Row],[NIP]],nip_firm610[],2,FALSE)="BARTEX",1,0)</f>
        <v>0</v>
      </c>
    </row>
    <row r="136" spans="1:12" x14ac:dyDescent="0.25">
      <c r="A136" s="5" t="s">
        <v>361</v>
      </c>
      <c r="B136" s="6" t="s">
        <v>362</v>
      </c>
      <c r="C136" s="6" t="s">
        <v>363</v>
      </c>
      <c r="D136" s="7" t="s">
        <v>7</v>
      </c>
      <c r="F136">
        <v>5185759244</v>
      </c>
      <c r="G136" s="1" t="s">
        <v>636</v>
      </c>
      <c r="H136" s="1" t="s">
        <v>1216</v>
      </c>
      <c r="I136" s="1" t="s">
        <v>1081</v>
      </c>
      <c r="J136">
        <v>2277</v>
      </c>
      <c r="K136" s="1" t="str">
        <f>_xlfn.CONCAT(uslugi49[[#This Row],[ozn]:[nr]])</f>
        <v>POY30EJ</v>
      </c>
      <c r="L136" s="1">
        <f>IF(VLOOKUP(uslugi49[[#This Row],[NIP]],nip_firm610[],2,FALSE)="BARTEX",1,0)</f>
        <v>0</v>
      </c>
    </row>
    <row r="137" spans="1:12" x14ac:dyDescent="0.25">
      <c r="A137" s="2" t="s">
        <v>364</v>
      </c>
      <c r="B137" s="3" t="s">
        <v>365</v>
      </c>
      <c r="C137" s="3" t="s">
        <v>366</v>
      </c>
      <c r="D137" s="4" t="s">
        <v>7</v>
      </c>
      <c r="F137">
        <v>3866883575</v>
      </c>
      <c r="G137" s="1" t="s">
        <v>434</v>
      </c>
      <c r="H137" s="1" t="s">
        <v>1217</v>
      </c>
      <c r="I137" s="1" t="s">
        <v>1087</v>
      </c>
      <c r="J137">
        <v>2994</v>
      </c>
      <c r="K137" s="1" t="str">
        <f>_xlfn.CONCAT(uslugi49[[#This Row],[ozn]:[nr]])</f>
        <v>LU3571C</v>
      </c>
      <c r="L137" s="1">
        <f>IF(VLOOKUP(uslugi49[[#This Row],[NIP]],nip_firm610[],2,FALSE)="BARTEX",1,0)</f>
        <v>0</v>
      </c>
    </row>
    <row r="138" spans="1:12" x14ac:dyDescent="0.25">
      <c r="A138" s="5" t="s">
        <v>367</v>
      </c>
      <c r="B138" s="6" t="s">
        <v>368</v>
      </c>
      <c r="C138" s="6" t="s">
        <v>369</v>
      </c>
      <c r="D138" s="7" t="s">
        <v>7</v>
      </c>
      <c r="F138">
        <v>6727559092</v>
      </c>
      <c r="G138" s="1" t="s">
        <v>862</v>
      </c>
      <c r="H138" s="1" t="s">
        <v>1218</v>
      </c>
      <c r="I138" s="1" t="s">
        <v>1087</v>
      </c>
      <c r="J138">
        <v>2315</v>
      </c>
      <c r="K138" s="1" t="str">
        <f>_xlfn.CONCAT(uslugi49[[#This Row],[ozn]:[nr]])</f>
        <v>RTA367J</v>
      </c>
      <c r="L138" s="1">
        <f>IF(VLOOKUP(uslugi49[[#This Row],[NIP]],nip_firm610[],2,FALSE)="BARTEX",1,0)</f>
        <v>0</v>
      </c>
    </row>
    <row r="139" spans="1:12" x14ac:dyDescent="0.25">
      <c r="A139" s="2" t="s">
        <v>370</v>
      </c>
      <c r="B139" s="3" t="s">
        <v>371</v>
      </c>
      <c r="C139" s="3" t="s">
        <v>372</v>
      </c>
      <c r="D139" s="4" t="s">
        <v>7</v>
      </c>
      <c r="F139">
        <v>1165493421</v>
      </c>
      <c r="G139" s="1" t="s">
        <v>636</v>
      </c>
      <c r="H139" s="1" t="s">
        <v>1219</v>
      </c>
      <c r="I139" s="1" t="s">
        <v>1087</v>
      </c>
      <c r="J139">
        <v>2560</v>
      </c>
      <c r="K139" s="1" t="str">
        <f>_xlfn.CONCAT(uslugi49[[#This Row],[ozn]:[nr]])</f>
        <v>POL74SB</v>
      </c>
      <c r="L139" s="1">
        <f>IF(VLOOKUP(uslugi49[[#This Row],[NIP]],nip_firm610[],2,FALSE)="BARTEX",1,0)</f>
        <v>0</v>
      </c>
    </row>
    <row r="140" spans="1:12" x14ac:dyDescent="0.25">
      <c r="A140" s="5" t="s">
        <v>373</v>
      </c>
      <c r="B140" s="6" t="s">
        <v>374</v>
      </c>
      <c r="C140" s="6" t="s">
        <v>375</v>
      </c>
      <c r="D140" s="7" t="s">
        <v>7</v>
      </c>
      <c r="F140">
        <v>4796841112</v>
      </c>
      <c r="G140" s="1" t="s">
        <v>533</v>
      </c>
      <c r="H140" s="1" t="s">
        <v>1220</v>
      </c>
      <c r="I140" s="1" t="s">
        <v>1087</v>
      </c>
      <c r="J140">
        <v>2391</v>
      </c>
      <c r="K140" s="1" t="str">
        <f>_xlfn.CONCAT(uslugi49[[#This Row],[ozn]:[nr]])</f>
        <v>DOAA682</v>
      </c>
      <c r="L140" s="1">
        <f>IF(VLOOKUP(uslugi49[[#This Row],[NIP]],nip_firm610[],2,FALSE)="BARTEX",1,0)</f>
        <v>0</v>
      </c>
    </row>
    <row r="141" spans="1:12" x14ac:dyDescent="0.25">
      <c r="A141" s="2" t="s">
        <v>376</v>
      </c>
      <c r="B141" s="3" t="s">
        <v>377</v>
      </c>
      <c r="C141" s="3" t="s">
        <v>377</v>
      </c>
      <c r="D141" s="4" t="s">
        <v>22</v>
      </c>
      <c r="F141">
        <v>5115061689</v>
      </c>
      <c r="G141" s="1" t="s">
        <v>702</v>
      </c>
      <c r="H141" s="1" t="s">
        <v>1221</v>
      </c>
      <c r="I141" s="1" t="s">
        <v>1087</v>
      </c>
      <c r="J141">
        <v>2085</v>
      </c>
      <c r="K141" s="1" t="str">
        <f>_xlfn.CONCAT(uslugi49[[#This Row],[ozn]:[nr]])</f>
        <v>SL16896</v>
      </c>
      <c r="L141" s="1">
        <f>IF(VLOOKUP(uslugi49[[#This Row],[NIP]],nip_firm610[],2,FALSE)="BARTEX",1,0)</f>
        <v>0</v>
      </c>
    </row>
    <row r="142" spans="1:12" x14ac:dyDescent="0.25">
      <c r="A142" s="5" t="s">
        <v>378</v>
      </c>
      <c r="B142" s="6" t="s">
        <v>379</v>
      </c>
      <c r="C142" s="6" t="s">
        <v>377</v>
      </c>
      <c r="D142" s="7" t="s">
        <v>7</v>
      </c>
      <c r="F142">
        <v>1599095267</v>
      </c>
      <c r="G142" s="1" t="s">
        <v>636</v>
      </c>
      <c r="H142" s="1" t="s">
        <v>1222</v>
      </c>
      <c r="I142" s="1" t="s">
        <v>1087</v>
      </c>
      <c r="J142">
        <v>2105</v>
      </c>
      <c r="K142" s="1" t="str">
        <f>_xlfn.CONCAT(uslugi49[[#This Row],[ozn]:[nr]])</f>
        <v>POPK128</v>
      </c>
      <c r="L142" s="1">
        <f>IF(VLOOKUP(uslugi49[[#This Row],[NIP]],nip_firm610[],2,FALSE)="BARTEX",1,0)</f>
        <v>0</v>
      </c>
    </row>
    <row r="143" spans="1:12" x14ac:dyDescent="0.25">
      <c r="A143" s="2" t="s">
        <v>380</v>
      </c>
      <c r="B143" s="3" t="s">
        <v>381</v>
      </c>
      <c r="C143" s="3" t="s">
        <v>382</v>
      </c>
      <c r="D143" s="4" t="s">
        <v>7</v>
      </c>
      <c r="F143">
        <v>3866883575</v>
      </c>
      <c r="G143" s="1" t="s">
        <v>434</v>
      </c>
      <c r="H143" s="1" t="s">
        <v>1223</v>
      </c>
      <c r="I143" s="1" t="s">
        <v>1087</v>
      </c>
      <c r="J143">
        <v>1928</v>
      </c>
      <c r="K143" s="1" t="str">
        <f>_xlfn.CONCAT(uslugi49[[#This Row],[ozn]:[nr]])</f>
        <v>LU16788</v>
      </c>
      <c r="L143" s="1">
        <f>IF(VLOOKUP(uslugi49[[#This Row],[NIP]],nip_firm610[],2,FALSE)="BARTEX",1,0)</f>
        <v>0</v>
      </c>
    </row>
    <row r="144" spans="1:12" x14ac:dyDescent="0.25">
      <c r="A144" s="5" t="s">
        <v>383</v>
      </c>
      <c r="B144" s="6" t="s">
        <v>384</v>
      </c>
      <c r="C144" s="6" t="s">
        <v>385</v>
      </c>
      <c r="D144" s="7" t="s">
        <v>7</v>
      </c>
      <c r="F144">
        <v>4779174699</v>
      </c>
      <c r="G144" s="1" t="s">
        <v>1003</v>
      </c>
      <c r="H144" s="1" t="s">
        <v>1224</v>
      </c>
      <c r="I144" s="1" t="s">
        <v>1081</v>
      </c>
      <c r="J144">
        <v>1852</v>
      </c>
      <c r="K144" s="1" t="str">
        <f>_xlfn.CONCAT(uslugi49[[#This Row],[ozn]:[nr]])</f>
        <v>DW3901W</v>
      </c>
      <c r="L144" s="1">
        <f>IF(VLOOKUP(uslugi49[[#This Row],[NIP]],nip_firm610[],2,FALSE)="BARTEX",1,0)</f>
        <v>0</v>
      </c>
    </row>
    <row r="145" spans="1:12" x14ac:dyDescent="0.25">
      <c r="A145" s="2" t="s">
        <v>386</v>
      </c>
      <c r="B145" s="3" t="s">
        <v>385</v>
      </c>
      <c r="C145" s="3" t="s">
        <v>385</v>
      </c>
      <c r="D145" s="4" t="s">
        <v>22</v>
      </c>
      <c r="F145">
        <v>3866883575</v>
      </c>
      <c r="G145" s="1" t="s">
        <v>434</v>
      </c>
      <c r="H145" s="1" t="s">
        <v>1225</v>
      </c>
      <c r="I145" s="1" t="s">
        <v>1087</v>
      </c>
      <c r="J145">
        <v>2784</v>
      </c>
      <c r="K145" s="1" t="str">
        <f>_xlfn.CONCAT(uslugi49[[#This Row],[ozn]:[nr]])</f>
        <v>LU16792</v>
      </c>
      <c r="L145" s="1">
        <f>IF(VLOOKUP(uslugi49[[#This Row],[NIP]],nip_firm610[],2,FALSE)="BARTEX",1,0)</f>
        <v>0</v>
      </c>
    </row>
    <row r="146" spans="1:12" x14ac:dyDescent="0.25">
      <c r="A146" s="5" t="s">
        <v>387</v>
      </c>
      <c r="B146" s="6" t="s">
        <v>388</v>
      </c>
      <c r="C146" s="6" t="s">
        <v>389</v>
      </c>
      <c r="D146" s="7" t="s">
        <v>7</v>
      </c>
      <c r="F146">
        <v>4779174699</v>
      </c>
      <c r="G146" s="1" t="s">
        <v>1003</v>
      </c>
      <c r="H146" s="1" t="s">
        <v>1226</v>
      </c>
      <c r="I146" s="1" t="s">
        <v>1087</v>
      </c>
      <c r="J146">
        <v>2348</v>
      </c>
      <c r="K146" s="1" t="str">
        <f>_xlfn.CONCAT(uslugi49[[#This Row],[ozn]:[nr]])</f>
        <v>DW3891T</v>
      </c>
      <c r="L146" s="1">
        <f>IF(VLOOKUP(uslugi49[[#This Row],[NIP]],nip_firm610[],2,FALSE)="BARTEX",1,0)</f>
        <v>0</v>
      </c>
    </row>
    <row r="147" spans="1:12" x14ac:dyDescent="0.25">
      <c r="A147" s="2" t="s">
        <v>390</v>
      </c>
      <c r="B147" s="3" t="s">
        <v>391</v>
      </c>
      <c r="C147" s="3" t="s">
        <v>392</v>
      </c>
      <c r="D147" s="4" t="s">
        <v>7</v>
      </c>
      <c r="F147">
        <v>3318203338</v>
      </c>
      <c r="G147" s="1" t="s">
        <v>248</v>
      </c>
      <c r="H147" s="1" t="s">
        <v>1227</v>
      </c>
      <c r="I147" s="1" t="s">
        <v>1087</v>
      </c>
      <c r="J147">
        <v>2305</v>
      </c>
      <c r="K147" s="1" t="str">
        <f>_xlfn.CONCAT(uslugi49[[#This Row],[ozn]:[nr]])</f>
        <v>SJLR356</v>
      </c>
      <c r="L147" s="1">
        <f>IF(VLOOKUP(uslugi49[[#This Row],[NIP]],nip_firm610[],2,FALSE)="BARTEX",1,0)</f>
        <v>0</v>
      </c>
    </row>
    <row r="148" spans="1:12" x14ac:dyDescent="0.25">
      <c r="A148" s="5" t="s">
        <v>393</v>
      </c>
      <c r="B148" s="6" t="s">
        <v>394</v>
      </c>
      <c r="C148" s="6" t="s">
        <v>395</v>
      </c>
      <c r="D148" s="7" t="s">
        <v>7</v>
      </c>
      <c r="F148">
        <v>1433397952</v>
      </c>
      <c r="G148" s="1" t="s">
        <v>314</v>
      </c>
      <c r="H148" s="1" t="s">
        <v>1228</v>
      </c>
      <c r="I148" s="1" t="s">
        <v>1081</v>
      </c>
      <c r="J148">
        <v>2282</v>
      </c>
      <c r="K148" s="1" t="str">
        <f>_xlfn.CONCAT(uslugi49[[#This Row],[ozn]:[nr]])</f>
        <v>PN16830</v>
      </c>
      <c r="L148" s="1">
        <f>IF(VLOOKUP(uslugi49[[#This Row],[NIP]],nip_firm610[],2,FALSE)="BARTEX",1,0)</f>
        <v>1</v>
      </c>
    </row>
    <row r="149" spans="1:12" x14ac:dyDescent="0.25">
      <c r="A149" s="2" t="s">
        <v>396</v>
      </c>
      <c r="B149" s="3" t="s">
        <v>397</v>
      </c>
      <c r="C149" s="3" t="s">
        <v>398</v>
      </c>
      <c r="D149" s="4" t="s">
        <v>7</v>
      </c>
      <c r="F149">
        <v>4326751508</v>
      </c>
      <c r="G149" s="1" t="s">
        <v>405</v>
      </c>
      <c r="H149" s="1" t="s">
        <v>1229</v>
      </c>
      <c r="I149" s="1" t="s">
        <v>1081</v>
      </c>
      <c r="J149">
        <v>2408</v>
      </c>
      <c r="K149" s="1" t="str">
        <f>_xlfn.CONCAT(uslugi49[[#This Row],[ozn]:[nr]])</f>
        <v>EL59799</v>
      </c>
      <c r="L149" s="1">
        <f>IF(VLOOKUP(uslugi49[[#This Row],[NIP]],nip_firm610[],2,FALSE)="BARTEX",1,0)</f>
        <v>0</v>
      </c>
    </row>
    <row r="150" spans="1:12" x14ac:dyDescent="0.25">
      <c r="A150" s="5" t="s">
        <v>399</v>
      </c>
      <c r="B150" s="6" t="s">
        <v>400</v>
      </c>
      <c r="C150" s="6" t="s">
        <v>401</v>
      </c>
      <c r="D150" s="7" t="s">
        <v>7</v>
      </c>
      <c r="F150">
        <v>3470453173</v>
      </c>
      <c r="G150" s="1" t="s">
        <v>85</v>
      </c>
      <c r="H150" s="1" t="s">
        <v>1230</v>
      </c>
      <c r="I150" s="1" t="s">
        <v>1087</v>
      </c>
      <c r="J150">
        <v>1835</v>
      </c>
      <c r="K150" s="1" t="str">
        <f>_xlfn.CONCAT(uslugi49[[#This Row],[ozn]:[nr]])</f>
        <v>LC34566</v>
      </c>
      <c r="L150" s="1">
        <f>IF(VLOOKUP(uslugi49[[#This Row],[NIP]],nip_firm610[],2,FALSE)="BARTEX",1,0)</f>
        <v>0</v>
      </c>
    </row>
    <row r="151" spans="1:12" x14ac:dyDescent="0.25">
      <c r="A151" s="2" t="s">
        <v>402</v>
      </c>
      <c r="B151" s="3" t="s">
        <v>403</v>
      </c>
      <c r="C151" s="3" t="s">
        <v>404</v>
      </c>
      <c r="D151" s="4" t="s">
        <v>7</v>
      </c>
      <c r="F151">
        <v>3783578981</v>
      </c>
      <c r="G151" s="1" t="s">
        <v>405</v>
      </c>
      <c r="H151" s="1" t="s">
        <v>1231</v>
      </c>
      <c r="I151" s="1" t="s">
        <v>1081</v>
      </c>
      <c r="J151">
        <v>1869</v>
      </c>
      <c r="K151" s="1" t="str">
        <f>_xlfn.CONCAT(uslugi49[[#This Row],[ozn]:[nr]])</f>
        <v>EL28112</v>
      </c>
      <c r="L151" s="1">
        <f>IF(VLOOKUP(uslugi49[[#This Row],[NIP]],nip_firm610[],2,FALSE)="BARTEX",1,0)</f>
        <v>0</v>
      </c>
    </row>
    <row r="152" spans="1:12" x14ac:dyDescent="0.25">
      <c r="A152" s="5" t="s">
        <v>405</v>
      </c>
      <c r="B152" s="6" t="s">
        <v>406</v>
      </c>
      <c r="C152" s="6" t="s">
        <v>406</v>
      </c>
      <c r="D152" s="7" t="s">
        <v>22</v>
      </c>
      <c r="F152">
        <v>3568004264</v>
      </c>
      <c r="G152" s="1" t="s">
        <v>428</v>
      </c>
      <c r="H152" s="1" t="s">
        <v>1232</v>
      </c>
      <c r="I152" s="1" t="s">
        <v>1087</v>
      </c>
      <c r="J152">
        <v>1804</v>
      </c>
      <c r="K152" s="1" t="str">
        <f>_xlfn.CONCAT(uslugi49[[#This Row],[ozn]:[nr]])</f>
        <v>LUBF628</v>
      </c>
      <c r="L152" s="1">
        <f>IF(VLOOKUP(uslugi49[[#This Row],[NIP]],nip_firm610[],2,FALSE)="BARTEX",1,0)</f>
        <v>0</v>
      </c>
    </row>
    <row r="153" spans="1:12" x14ac:dyDescent="0.25">
      <c r="A153" s="2" t="s">
        <v>407</v>
      </c>
      <c r="B153" s="3" t="s">
        <v>408</v>
      </c>
      <c r="C153" s="3" t="s">
        <v>406</v>
      </c>
      <c r="D153" s="4" t="s">
        <v>7</v>
      </c>
      <c r="F153">
        <v>6758177505</v>
      </c>
      <c r="G153" s="1" t="s">
        <v>862</v>
      </c>
      <c r="H153" s="1" t="s">
        <v>1233</v>
      </c>
      <c r="I153" s="1" t="s">
        <v>1081</v>
      </c>
      <c r="J153">
        <v>2990</v>
      </c>
      <c r="K153" s="1" t="str">
        <f>_xlfn.CONCAT(uslugi49[[#This Row],[ozn]:[nr]])</f>
        <v>RTA501V</v>
      </c>
      <c r="L153" s="1">
        <f>IF(VLOOKUP(uslugi49[[#This Row],[NIP]],nip_firm610[],2,FALSE)="BARTEX",1,0)</f>
        <v>0</v>
      </c>
    </row>
    <row r="154" spans="1:12" x14ac:dyDescent="0.25">
      <c r="A154" s="5" t="s">
        <v>409</v>
      </c>
      <c r="B154" s="6" t="s">
        <v>410</v>
      </c>
      <c r="C154" s="6" t="s">
        <v>410</v>
      </c>
      <c r="D154" s="7" t="s">
        <v>22</v>
      </c>
      <c r="F154">
        <v>5115061689</v>
      </c>
      <c r="G154" s="1" t="s">
        <v>702</v>
      </c>
      <c r="H154" s="1" t="s">
        <v>1234</v>
      </c>
      <c r="I154" s="1" t="s">
        <v>1081</v>
      </c>
      <c r="J154">
        <v>2840</v>
      </c>
      <c r="K154" s="1" t="str">
        <f>_xlfn.CONCAT(uslugi49[[#This Row],[ozn]:[nr]])</f>
        <v>SL16894</v>
      </c>
      <c r="L154" s="1">
        <f>IF(VLOOKUP(uslugi49[[#This Row],[NIP]],nip_firm610[],2,FALSE)="BARTEX",1,0)</f>
        <v>0</v>
      </c>
    </row>
    <row r="155" spans="1:12" x14ac:dyDescent="0.25">
      <c r="A155" s="2" t="s">
        <v>411</v>
      </c>
      <c r="B155" s="3" t="s">
        <v>412</v>
      </c>
      <c r="C155" s="3" t="s">
        <v>410</v>
      </c>
      <c r="D155" s="4" t="s">
        <v>7</v>
      </c>
      <c r="F155">
        <v>5418968184</v>
      </c>
      <c r="G155" s="1" t="s">
        <v>248</v>
      </c>
      <c r="H155" s="1" t="s">
        <v>1235</v>
      </c>
      <c r="I155" s="1" t="s">
        <v>1087</v>
      </c>
      <c r="J155">
        <v>1929</v>
      </c>
      <c r="K155" s="1" t="str">
        <f>_xlfn.CONCAT(uslugi49[[#This Row],[ozn]:[nr]])</f>
        <v>SJO62FG</v>
      </c>
      <c r="L155" s="1">
        <f>IF(VLOOKUP(uslugi49[[#This Row],[NIP]],nip_firm610[],2,FALSE)="BARTEX",1,0)</f>
        <v>0</v>
      </c>
    </row>
    <row r="156" spans="1:12" x14ac:dyDescent="0.25">
      <c r="A156" s="5" t="s">
        <v>413</v>
      </c>
      <c r="B156" s="6" t="s">
        <v>414</v>
      </c>
      <c r="C156" s="6" t="s">
        <v>415</v>
      </c>
      <c r="D156" s="7" t="s">
        <v>7</v>
      </c>
      <c r="F156">
        <v>2581219876</v>
      </c>
      <c r="G156" s="1" t="s">
        <v>141</v>
      </c>
      <c r="H156" s="1" t="s">
        <v>1236</v>
      </c>
      <c r="I156" s="1" t="s">
        <v>1081</v>
      </c>
      <c r="J156">
        <v>2506</v>
      </c>
      <c r="K156" s="1" t="str">
        <f>_xlfn.CONCAT(uslugi49[[#This Row],[ozn]:[nr]])</f>
        <v>NEBH724</v>
      </c>
      <c r="L156" s="1">
        <f>IF(VLOOKUP(uslugi49[[#This Row],[NIP]],nip_firm610[],2,FALSE)="BARTEX",1,0)</f>
        <v>0</v>
      </c>
    </row>
    <row r="157" spans="1:12" x14ac:dyDescent="0.25">
      <c r="A157" s="2" t="s">
        <v>416</v>
      </c>
      <c r="B157" s="3" t="s">
        <v>417</v>
      </c>
      <c r="C157" s="3" t="s">
        <v>418</v>
      </c>
      <c r="D157" s="4" t="s">
        <v>7</v>
      </c>
      <c r="F157">
        <v>1127056356</v>
      </c>
      <c r="G157" s="1" t="s">
        <v>317</v>
      </c>
      <c r="H157" s="1" t="s">
        <v>1237</v>
      </c>
      <c r="I157" s="1" t="s">
        <v>1087</v>
      </c>
      <c r="J157">
        <v>2924</v>
      </c>
      <c r="K157" s="1" t="str">
        <f>_xlfn.CONCAT(uslugi49[[#This Row],[ozn]:[nr]])</f>
        <v>PKSW570</v>
      </c>
      <c r="L157" s="1">
        <f>IF(VLOOKUP(uslugi49[[#This Row],[NIP]],nip_firm610[],2,FALSE)="BARTEX",1,0)</f>
        <v>0</v>
      </c>
    </row>
    <row r="158" spans="1:12" x14ac:dyDescent="0.25">
      <c r="A158" s="5" t="s">
        <v>419</v>
      </c>
      <c r="B158" s="6" t="s">
        <v>420</v>
      </c>
      <c r="C158" s="6" t="s">
        <v>421</v>
      </c>
      <c r="D158" s="7" t="s">
        <v>7</v>
      </c>
      <c r="F158">
        <v>5528435390</v>
      </c>
      <c r="G158" s="1" t="s">
        <v>248</v>
      </c>
      <c r="H158" s="1" t="s">
        <v>1238</v>
      </c>
      <c r="I158" s="1" t="s">
        <v>1081</v>
      </c>
      <c r="J158">
        <v>2283</v>
      </c>
      <c r="K158" s="1" t="str">
        <f>_xlfn.CONCAT(uslugi49[[#This Row],[ozn]:[nr]])</f>
        <v>SJA38DW</v>
      </c>
      <c r="L158" s="1">
        <f>IF(VLOOKUP(uslugi49[[#This Row],[NIP]],nip_firm610[],2,FALSE)="BARTEX",1,0)</f>
        <v>0</v>
      </c>
    </row>
    <row r="159" spans="1:12" x14ac:dyDescent="0.25">
      <c r="A159" s="2" t="s">
        <v>422</v>
      </c>
      <c r="B159" s="3" t="s">
        <v>423</v>
      </c>
      <c r="C159" s="3" t="s">
        <v>424</v>
      </c>
      <c r="D159" s="4" t="s">
        <v>7</v>
      </c>
      <c r="F159">
        <v>4241680809</v>
      </c>
      <c r="G159" s="1" t="s">
        <v>248</v>
      </c>
      <c r="H159" s="1" t="s">
        <v>1239</v>
      </c>
      <c r="I159" s="1" t="s">
        <v>1081</v>
      </c>
      <c r="J159">
        <v>2350</v>
      </c>
      <c r="K159" s="1" t="str">
        <f>_xlfn.CONCAT(uslugi49[[#This Row],[ozn]:[nr]])</f>
        <v>SJR78KN</v>
      </c>
      <c r="L159" s="1">
        <f>IF(VLOOKUP(uslugi49[[#This Row],[NIP]],nip_firm610[],2,FALSE)="BARTEX",1,0)</f>
        <v>0</v>
      </c>
    </row>
    <row r="160" spans="1:12" x14ac:dyDescent="0.25">
      <c r="A160" s="5" t="s">
        <v>425</v>
      </c>
      <c r="B160" s="6" t="s">
        <v>426</v>
      </c>
      <c r="C160" s="6" t="s">
        <v>427</v>
      </c>
      <c r="D160" s="7" t="s">
        <v>7</v>
      </c>
      <c r="F160">
        <v>2245871126</v>
      </c>
      <c r="G160" s="1" t="s">
        <v>73</v>
      </c>
      <c r="H160" s="1" t="s">
        <v>1240</v>
      </c>
      <c r="I160" s="1" t="s">
        <v>1081</v>
      </c>
      <c r="J160">
        <v>2340</v>
      </c>
      <c r="K160" s="1" t="str">
        <f>_xlfn.CONCAT(uslugi49[[#This Row],[ozn]:[nr]])</f>
        <v>TBU24274</v>
      </c>
      <c r="L160" s="1">
        <f>IF(VLOOKUP(uslugi49[[#This Row],[NIP]],nip_firm610[],2,FALSE)="BARTEX",1,0)</f>
        <v>0</v>
      </c>
    </row>
    <row r="161" spans="1:12" x14ac:dyDescent="0.25">
      <c r="A161" s="2" t="s">
        <v>428</v>
      </c>
      <c r="B161" s="3" t="s">
        <v>429</v>
      </c>
      <c r="C161" s="3" t="s">
        <v>430</v>
      </c>
      <c r="D161" s="4" t="s">
        <v>7</v>
      </c>
      <c r="F161">
        <v>1620242236</v>
      </c>
      <c r="G161" s="1" t="s">
        <v>314</v>
      </c>
      <c r="H161" s="1" t="s">
        <v>1241</v>
      </c>
      <c r="I161" s="1" t="s">
        <v>1081</v>
      </c>
      <c r="J161">
        <v>2368</v>
      </c>
      <c r="K161" s="1" t="str">
        <f>_xlfn.CONCAT(uslugi49[[#This Row],[ozn]:[nr]])</f>
        <v>PN16900</v>
      </c>
      <c r="L161" s="1">
        <f>IF(VLOOKUP(uslugi49[[#This Row],[NIP]],nip_firm610[],2,FALSE)="BARTEX",1,0)</f>
        <v>0</v>
      </c>
    </row>
    <row r="162" spans="1:12" x14ac:dyDescent="0.25">
      <c r="A162" s="5" t="s">
        <v>431</v>
      </c>
      <c r="B162" s="6" t="s">
        <v>432</v>
      </c>
      <c r="C162" s="6" t="s">
        <v>433</v>
      </c>
      <c r="D162" s="7" t="s">
        <v>7</v>
      </c>
      <c r="F162">
        <v>4796841112</v>
      </c>
      <c r="G162" s="1" t="s">
        <v>533</v>
      </c>
      <c r="H162" s="1" t="s">
        <v>1242</v>
      </c>
      <c r="I162" s="1" t="s">
        <v>1081</v>
      </c>
      <c r="J162">
        <v>3336</v>
      </c>
      <c r="K162" s="1" t="str">
        <f>_xlfn.CONCAT(uslugi49[[#This Row],[ozn]:[nr]])</f>
        <v>DOAD684</v>
      </c>
      <c r="L162" s="1">
        <f>IF(VLOOKUP(uslugi49[[#This Row],[NIP]],nip_firm610[],2,FALSE)="BARTEX",1,0)</f>
        <v>0</v>
      </c>
    </row>
    <row r="163" spans="1:12" x14ac:dyDescent="0.25">
      <c r="A163" s="2" t="s">
        <v>434</v>
      </c>
      <c r="B163" s="3" t="s">
        <v>430</v>
      </c>
      <c r="C163" s="3" t="s">
        <v>430</v>
      </c>
      <c r="D163" s="4" t="s">
        <v>22</v>
      </c>
      <c r="F163">
        <v>3783578981</v>
      </c>
      <c r="G163" s="1" t="s">
        <v>405</v>
      </c>
      <c r="H163" s="1" t="s">
        <v>1243</v>
      </c>
      <c r="I163" s="1" t="s">
        <v>1081</v>
      </c>
      <c r="J163">
        <v>2510</v>
      </c>
      <c r="K163" s="1" t="str">
        <f>_xlfn.CONCAT(uslugi49[[#This Row],[ozn]:[nr]])</f>
        <v>EL27708</v>
      </c>
      <c r="L163" s="1">
        <f>IF(VLOOKUP(uslugi49[[#This Row],[NIP]],nip_firm610[],2,FALSE)="BARTEX",1,0)</f>
        <v>0</v>
      </c>
    </row>
    <row r="164" spans="1:12" x14ac:dyDescent="0.25">
      <c r="A164" s="5" t="s">
        <v>435</v>
      </c>
      <c r="B164" s="6" t="s">
        <v>436</v>
      </c>
      <c r="C164" s="6" t="s">
        <v>437</v>
      </c>
      <c r="D164" s="7" t="s">
        <v>7</v>
      </c>
      <c r="F164">
        <v>5115061689</v>
      </c>
      <c r="G164" s="1" t="s">
        <v>704</v>
      </c>
      <c r="H164" s="1" t="s">
        <v>1244</v>
      </c>
      <c r="I164" s="1" t="s">
        <v>1081</v>
      </c>
      <c r="J164">
        <v>2358</v>
      </c>
      <c r="K164" s="1" t="str">
        <f>_xlfn.CONCAT(uslugi49[[#This Row],[ozn]:[nr]])</f>
        <v>SRSL668</v>
      </c>
      <c r="L164" s="1">
        <f>IF(VLOOKUP(uslugi49[[#This Row],[NIP]],nip_firm610[],2,FALSE)="BARTEX",1,0)</f>
        <v>0</v>
      </c>
    </row>
    <row r="165" spans="1:12" x14ac:dyDescent="0.25">
      <c r="A165" s="2" t="s">
        <v>438</v>
      </c>
      <c r="B165" s="3" t="s">
        <v>439</v>
      </c>
      <c r="C165" s="3" t="s">
        <v>440</v>
      </c>
      <c r="D165" s="4" t="s">
        <v>7</v>
      </c>
      <c r="F165">
        <v>6758177505</v>
      </c>
      <c r="G165" s="1" t="s">
        <v>562</v>
      </c>
      <c r="H165" s="1" t="s">
        <v>1245</v>
      </c>
      <c r="I165" s="1" t="s">
        <v>1081</v>
      </c>
      <c r="J165">
        <v>3104</v>
      </c>
      <c r="K165" s="1" t="str">
        <f>_xlfn.CONCAT(uslugi49[[#This Row],[ozn]:[nr]])</f>
        <v>OPO479M</v>
      </c>
      <c r="L165" s="1">
        <f>IF(VLOOKUP(uslugi49[[#This Row],[NIP]],nip_firm610[],2,FALSE)="BARTEX",1,0)</f>
        <v>0</v>
      </c>
    </row>
    <row r="166" spans="1:12" x14ac:dyDescent="0.25">
      <c r="A166" s="5" t="s">
        <v>441</v>
      </c>
      <c r="B166" s="6" t="s">
        <v>442</v>
      </c>
      <c r="C166" s="6" t="s">
        <v>443</v>
      </c>
      <c r="D166" s="7" t="s">
        <v>7</v>
      </c>
      <c r="F166">
        <v>2138598159</v>
      </c>
      <c r="G166" s="1" t="s">
        <v>143</v>
      </c>
      <c r="H166" s="1" t="s">
        <v>1246</v>
      </c>
      <c r="I166" s="1" t="s">
        <v>1081</v>
      </c>
      <c r="J166">
        <v>2391</v>
      </c>
      <c r="K166" s="1" t="str">
        <f>_xlfn.CONCAT(uslugi49[[#This Row],[ozn]:[nr]])</f>
        <v>NELP588</v>
      </c>
      <c r="L166" s="1">
        <f>IF(VLOOKUP(uslugi49[[#This Row],[NIP]],nip_firm610[],2,FALSE)="BARTEX",1,0)</f>
        <v>0</v>
      </c>
    </row>
    <row r="167" spans="1:12" x14ac:dyDescent="0.25">
      <c r="A167" s="2" t="s">
        <v>444</v>
      </c>
      <c r="B167" s="3" t="s">
        <v>445</v>
      </c>
      <c r="C167" s="3" t="s">
        <v>446</v>
      </c>
      <c r="D167" s="4" t="s">
        <v>7</v>
      </c>
      <c r="F167">
        <v>1524870307</v>
      </c>
      <c r="G167" s="1" t="s">
        <v>248</v>
      </c>
      <c r="H167" s="1" t="s">
        <v>1247</v>
      </c>
      <c r="I167" s="1" t="s">
        <v>1081</v>
      </c>
      <c r="J167">
        <v>2790</v>
      </c>
      <c r="K167" s="1" t="str">
        <f>_xlfn.CONCAT(uslugi49[[#This Row],[ozn]:[nr]])</f>
        <v>SJN91XU</v>
      </c>
      <c r="L167" s="1">
        <f>IF(VLOOKUP(uslugi49[[#This Row],[NIP]],nip_firm610[],2,FALSE)="BARTEX",1,0)</f>
        <v>0</v>
      </c>
    </row>
    <row r="168" spans="1:12" x14ac:dyDescent="0.25">
      <c r="A168" s="5" t="s">
        <v>447</v>
      </c>
      <c r="B168" s="6" t="s">
        <v>448</v>
      </c>
      <c r="C168" s="6" t="s">
        <v>449</v>
      </c>
      <c r="D168" s="7" t="s">
        <v>7</v>
      </c>
      <c r="F168">
        <v>4796841112</v>
      </c>
      <c r="G168" s="1" t="s">
        <v>533</v>
      </c>
      <c r="H168" s="1" t="s">
        <v>1248</v>
      </c>
      <c r="I168" s="1" t="s">
        <v>1081</v>
      </c>
      <c r="J168">
        <v>1796</v>
      </c>
      <c r="K168" s="1" t="str">
        <f>_xlfn.CONCAT(uslugi49[[#This Row],[ozn]:[nr]])</f>
        <v>DOAL678</v>
      </c>
      <c r="L168" s="1">
        <f>IF(VLOOKUP(uslugi49[[#This Row],[NIP]],nip_firm610[],2,FALSE)="BARTEX",1,0)</f>
        <v>0</v>
      </c>
    </row>
    <row r="169" spans="1:12" x14ac:dyDescent="0.25">
      <c r="A169" s="2" t="s">
        <v>450</v>
      </c>
      <c r="B169" s="3" t="s">
        <v>451</v>
      </c>
      <c r="C169" s="3" t="s">
        <v>452</v>
      </c>
      <c r="D169" s="4" t="s">
        <v>7</v>
      </c>
      <c r="F169">
        <v>3470453173</v>
      </c>
      <c r="G169" s="1" t="s">
        <v>85</v>
      </c>
      <c r="H169" s="1" t="s">
        <v>1249</v>
      </c>
      <c r="I169" s="1" t="s">
        <v>1081</v>
      </c>
      <c r="J169">
        <v>1790</v>
      </c>
      <c r="K169" s="1" t="str">
        <f>_xlfn.CONCAT(uslugi49[[#This Row],[ozn]:[nr]])</f>
        <v>LC34574</v>
      </c>
      <c r="L169" s="1">
        <f>IF(VLOOKUP(uslugi49[[#This Row],[NIP]],nip_firm610[],2,FALSE)="BARTEX",1,0)</f>
        <v>0</v>
      </c>
    </row>
    <row r="170" spans="1:12" x14ac:dyDescent="0.25">
      <c r="A170" s="5" t="s">
        <v>453</v>
      </c>
      <c r="B170" s="6" t="s">
        <v>454</v>
      </c>
      <c r="C170" s="6" t="s">
        <v>455</v>
      </c>
      <c r="D170" s="7" t="s">
        <v>7</v>
      </c>
      <c r="F170">
        <v>4761158900</v>
      </c>
      <c r="G170" s="1" t="s">
        <v>294</v>
      </c>
      <c r="H170" s="1" t="s">
        <v>1250</v>
      </c>
      <c r="I170" s="1" t="s">
        <v>1087</v>
      </c>
      <c r="J170">
        <v>2460</v>
      </c>
      <c r="K170" s="1" t="str">
        <f>_xlfn.CONCAT(uslugi49[[#This Row],[ozn]:[nr]])</f>
        <v>OKL87574</v>
      </c>
      <c r="L170" s="1">
        <f>IF(VLOOKUP(uslugi49[[#This Row],[NIP]],nip_firm610[],2,FALSE)="BARTEX",1,0)</f>
        <v>0</v>
      </c>
    </row>
    <row r="171" spans="1:12" x14ac:dyDescent="0.25">
      <c r="A171" s="2" t="s">
        <v>456</v>
      </c>
      <c r="B171" s="3" t="s">
        <v>457</v>
      </c>
      <c r="C171" s="3" t="s">
        <v>458</v>
      </c>
      <c r="D171" s="4" t="s">
        <v>7</v>
      </c>
      <c r="F171">
        <v>3866883575</v>
      </c>
      <c r="G171" s="1" t="s">
        <v>434</v>
      </c>
      <c r="H171" s="1" t="s">
        <v>1251</v>
      </c>
      <c r="I171" s="1" t="s">
        <v>1081</v>
      </c>
      <c r="J171">
        <v>3300</v>
      </c>
      <c r="K171" s="1" t="str">
        <f>_xlfn.CONCAT(uslugi49[[#This Row],[ozn]:[nr]])</f>
        <v>LU3561B</v>
      </c>
      <c r="L171" s="1">
        <f>IF(VLOOKUP(uslugi49[[#This Row],[NIP]],nip_firm610[],2,FALSE)="BARTEX",1,0)</f>
        <v>0</v>
      </c>
    </row>
    <row r="172" spans="1:12" x14ac:dyDescent="0.25">
      <c r="A172" s="5" t="s">
        <v>459</v>
      </c>
      <c r="B172" s="6" t="s">
        <v>460</v>
      </c>
      <c r="C172" s="6" t="s">
        <v>461</v>
      </c>
      <c r="D172" s="7" t="s">
        <v>7</v>
      </c>
      <c r="F172">
        <v>4326751508</v>
      </c>
      <c r="G172" s="1" t="s">
        <v>405</v>
      </c>
      <c r="H172" s="1" t="s">
        <v>1252</v>
      </c>
      <c r="I172" s="1" t="s">
        <v>1081</v>
      </c>
      <c r="J172">
        <v>2365</v>
      </c>
      <c r="K172" s="1" t="str">
        <f>_xlfn.CONCAT(uslugi49[[#This Row],[ozn]:[nr]])</f>
        <v>EL60910</v>
      </c>
      <c r="L172" s="1">
        <f>IF(VLOOKUP(uslugi49[[#This Row],[NIP]],nip_firm610[],2,FALSE)="BARTEX",1,0)</f>
        <v>0</v>
      </c>
    </row>
    <row r="173" spans="1:12" x14ac:dyDescent="0.25">
      <c r="A173" s="2" t="s">
        <v>462</v>
      </c>
      <c r="B173" s="3" t="s">
        <v>463</v>
      </c>
      <c r="C173" s="3" t="s">
        <v>464</v>
      </c>
      <c r="D173" s="4" t="s">
        <v>7</v>
      </c>
      <c r="F173">
        <v>1278408463</v>
      </c>
      <c r="G173" s="1" t="s">
        <v>312</v>
      </c>
      <c r="H173" s="1" t="s">
        <v>1253</v>
      </c>
      <c r="I173" s="1" t="s">
        <v>1087</v>
      </c>
      <c r="J173">
        <v>3270</v>
      </c>
      <c r="K173" s="1" t="str">
        <f>_xlfn.CONCAT(uslugi49[[#This Row],[ozn]:[nr]])</f>
        <v>PKON574</v>
      </c>
      <c r="L173" s="1">
        <f>IF(VLOOKUP(uslugi49[[#This Row],[NIP]],nip_firm610[],2,FALSE)="BARTEX",1,0)</f>
        <v>0</v>
      </c>
    </row>
    <row r="174" spans="1:12" x14ac:dyDescent="0.25">
      <c r="A174" s="5" t="s">
        <v>465</v>
      </c>
      <c r="B174" s="6" t="s">
        <v>466</v>
      </c>
      <c r="C174" s="6" t="s">
        <v>467</v>
      </c>
      <c r="D174" s="7" t="s">
        <v>7</v>
      </c>
      <c r="F174">
        <v>4326751508</v>
      </c>
      <c r="G174" s="1" t="s">
        <v>405</v>
      </c>
      <c r="H174" s="1" t="s">
        <v>1254</v>
      </c>
      <c r="I174" s="1" t="s">
        <v>1081</v>
      </c>
      <c r="J174">
        <v>1835</v>
      </c>
      <c r="K174" s="1" t="str">
        <f>_xlfn.CONCAT(uslugi49[[#This Row],[ozn]:[nr]])</f>
        <v>EL65354</v>
      </c>
      <c r="L174" s="1">
        <f>IF(VLOOKUP(uslugi49[[#This Row],[NIP]],nip_firm610[],2,FALSE)="BARTEX",1,0)</f>
        <v>0</v>
      </c>
    </row>
    <row r="175" spans="1:12" x14ac:dyDescent="0.25">
      <c r="A175" s="2" t="s">
        <v>468</v>
      </c>
      <c r="B175" s="3" t="s">
        <v>469</v>
      </c>
      <c r="C175" s="3" t="s">
        <v>470</v>
      </c>
      <c r="D175" s="4" t="s">
        <v>7</v>
      </c>
      <c r="F175">
        <v>1581329071</v>
      </c>
      <c r="G175" s="1" t="s">
        <v>248</v>
      </c>
      <c r="H175" s="1" t="s">
        <v>1255</v>
      </c>
      <c r="I175" s="1" t="s">
        <v>1087</v>
      </c>
      <c r="J175">
        <v>2320</v>
      </c>
      <c r="K175" s="1" t="str">
        <f>_xlfn.CONCAT(uslugi49[[#This Row],[ozn]:[nr]])</f>
        <v>SJE95RH</v>
      </c>
      <c r="L175" s="1">
        <f>IF(VLOOKUP(uslugi49[[#This Row],[NIP]],nip_firm610[],2,FALSE)="BARTEX",1,0)</f>
        <v>0</v>
      </c>
    </row>
    <row r="176" spans="1:12" x14ac:dyDescent="0.25">
      <c r="A176" s="5" t="s">
        <v>471</v>
      </c>
      <c r="B176" s="6" t="s">
        <v>472</v>
      </c>
      <c r="C176" s="6" t="s">
        <v>473</v>
      </c>
      <c r="D176" s="7" t="s">
        <v>7</v>
      </c>
      <c r="F176">
        <v>1620242236</v>
      </c>
      <c r="G176" s="1" t="s">
        <v>314</v>
      </c>
      <c r="H176" s="1" t="s">
        <v>1256</v>
      </c>
      <c r="I176" s="1" t="s">
        <v>1081</v>
      </c>
      <c r="J176">
        <v>2067</v>
      </c>
      <c r="K176" s="1" t="str">
        <f>_xlfn.CONCAT(uslugi49[[#This Row],[ozn]:[nr]])</f>
        <v>PN16902</v>
      </c>
      <c r="L176" s="1">
        <f>IF(VLOOKUP(uslugi49[[#This Row],[NIP]],nip_firm610[],2,FALSE)="BARTEX",1,0)</f>
        <v>0</v>
      </c>
    </row>
    <row r="177" spans="1:12" x14ac:dyDescent="0.25">
      <c r="A177" s="2" t="s">
        <v>474</v>
      </c>
      <c r="B177" s="3" t="s">
        <v>475</v>
      </c>
      <c r="C177" s="3" t="s">
        <v>476</v>
      </c>
      <c r="D177" s="4" t="s">
        <v>7</v>
      </c>
      <c r="F177">
        <v>2214740049</v>
      </c>
      <c r="G177" s="1" t="s">
        <v>56</v>
      </c>
      <c r="H177" s="1" t="s">
        <v>1257</v>
      </c>
      <c r="I177" s="1" t="s">
        <v>1081</v>
      </c>
      <c r="J177">
        <v>2366</v>
      </c>
      <c r="K177" s="1" t="str">
        <f>_xlfn.CONCAT(uslugi49[[#This Row],[ozn]:[nr]])</f>
        <v>NBRS706</v>
      </c>
      <c r="L177" s="1">
        <f>IF(VLOOKUP(uslugi49[[#This Row],[NIP]],nip_firm610[],2,FALSE)="BARTEX",1,0)</f>
        <v>0</v>
      </c>
    </row>
    <row r="178" spans="1:12" x14ac:dyDescent="0.25">
      <c r="A178" s="5" t="s">
        <v>477</v>
      </c>
      <c r="B178" s="6" t="s">
        <v>478</v>
      </c>
      <c r="C178" s="6" t="s">
        <v>479</v>
      </c>
      <c r="D178" s="7" t="s">
        <v>7</v>
      </c>
      <c r="F178">
        <v>1433397952</v>
      </c>
      <c r="G178" s="1" t="s">
        <v>314</v>
      </c>
      <c r="H178" s="1" t="s">
        <v>1258</v>
      </c>
      <c r="I178" s="1" t="s">
        <v>1081</v>
      </c>
      <c r="J178">
        <v>1990</v>
      </c>
      <c r="K178" s="1" t="str">
        <f>_xlfn.CONCAT(uslugi49[[#This Row],[ozn]:[nr]])</f>
        <v>PN3631H</v>
      </c>
      <c r="L178" s="1">
        <f>IF(VLOOKUP(uslugi49[[#This Row],[NIP]],nip_firm610[],2,FALSE)="BARTEX",1,0)</f>
        <v>1</v>
      </c>
    </row>
    <row r="179" spans="1:12" x14ac:dyDescent="0.25">
      <c r="A179" s="2" t="s">
        <v>480</v>
      </c>
      <c r="B179" s="3" t="s">
        <v>481</v>
      </c>
      <c r="C179" s="3" t="s">
        <v>482</v>
      </c>
      <c r="D179" s="4" t="s">
        <v>7</v>
      </c>
      <c r="F179">
        <v>2581219876</v>
      </c>
      <c r="G179" s="1" t="s">
        <v>141</v>
      </c>
      <c r="H179" s="1" t="s">
        <v>1259</v>
      </c>
      <c r="I179" s="1" t="s">
        <v>1087</v>
      </c>
      <c r="J179">
        <v>2120</v>
      </c>
      <c r="K179" s="1" t="str">
        <f>_xlfn.CONCAT(uslugi49[[#This Row],[ozn]:[nr]])</f>
        <v>NEB94MD</v>
      </c>
      <c r="L179" s="1">
        <f>IF(VLOOKUP(uslugi49[[#This Row],[NIP]],nip_firm610[],2,FALSE)="BARTEX",1,0)</f>
        <v>0</v>
      </c>
    </row>
    <row r="180" spans="1:12" x14ac:dyDescent="0.25">
      <c r="A180" s="5" t="s">
        <v>483</v>
      </c>
      <c r="B180" s="6" t="s">
        <v>484</v>
      </c>
      <c r="C180" s="6" t="s">
        <v>485</v>
      </c>
      <c r="D180" s="7" t="s">
        <v>7</v>
      </c>
      <c r="F180">
        <v>3470453173</v>
      </c>
      <c r="G180" s="1" t="s">
        <v>85</v>
      </c>
      <c r="H180" s="1" t="s">
        <v>1260</v>
      </c>
      <c r="I180" s="1" t="s">
        <v>1087</v>
      </c>
      <c r="J180">
        <v>1620</v>
      </c>
      <c r="K180" s="1" t="str">
        <f>_xlfn.CONCAT(uslugi49[[#This Row],[ozn]:[nr]])</f>
        <v>LC34576</v>
      </c>
      <c r="L180" s="1">
        <f>IF(VLOOKUP(uslugi49[[#This Row],[NIP]],nip_firm610[],2,FALSE)="BARTEX",1,0)</f>
        <v>0</v>
      </c>
    </row>
    <row r="181" spans="1:12" x14ac:dyDescent="0.25">
      <c r="A181" s="2" t="s">
        <v>486</v>
      </c>
      <c r="B181" s="3" t="s">
        <v>487</v>
      </c>
      <c r="C181" s="3" t="s">
        <v>488</v>
      </c>
      <c r="D181" s="4" t="s">
        <v>7</v>
      </c>
      <c r="F181">
        <v>4761158900</v>
      </c>
      <c r="G181" s="1" t="s">
        <v>294</v>
      </c>
      <c r="H181" s="1" t="s">
        <v>1261</v>
      </c>
      <c r="I181" s="1" t="s">
        <v>1081</v>
      </c>
      <c r="J181">
        <v>2080</v>
      </c>
      <c r="K181" s="1" t="str">
        <f>_xlfn.CONCAT(uslugi49[[#This Row],[ozn]:[nr]])</f>
        <v>OKL76464</v>
      </c>
      <c r="L181" s="1">
        <f>IF(VLOOKUP(uslugi49[[#This Row],[NIP]],nip_firm610[],2,FALSE)="BARTEX",1,0)</f>
        <v>0</v>
      </c>
    </row>
    <row r="182" spans="1:12" x14ac:dyDescent="0.25">
      <c r="A182" s="5" t="s">
        <v>489</v>
      </c>
      <c r="B182" s="6" t="s">
        <v>490</v>
      </c>
      <c r="C182" s="6" t="s">
        <v>490</v>
      </c>
      <c r="D182" s="7" t="s">
        <v>22</v>
      </c>
      <c r="F182">
        <v>1820566794</v>
      </c>
      <c r="G182" s="1" t="s">
        <v>604</v>
      </c>
      <c r="H182" s="1" t="s">
        <v>1262</v>
      </c>
      <c r="I182" s="1" t="s">
        <v>1087</v>
      </c>
      <c r="J182">
        <v>2658</v>
      </c>
      <c r="K182" s="1" t="str">
        <f>_xlfn.CONCAT(uslugi49[[#This Row],[ozn]:[nr]])</f>
        <v>PP27102</v>
      </c>
      <c r="L182" s="1">
        <f>IF(VLOOKUP(uslugi49[[#This Row],[NIP]],nip_firm610[],2,FALSE)="BARTEX",1,0)</f>
        <v>0</v>
      </c>
    </row>
    <row r="183" spans="1:12" x14ac:dyDescent="0.25">
      <c r="A183" s="2" t="s">
        <v>491</v>
      </c>
      <c r="B183" s="3" t="s">
        <v>492</v>
      </c>
      <c r="C183" s="3" t="s">
        <v>493</v>
      </c>
      <c r="D183" s="4" t="s">
        <v>7</v>
      </c>
      <c r="F183">
        <v>4761158900</v>
      </c>
      <c r="G183" s="1" t="s">
        <v>294</v>
      </c>
      <c r="H183" s="1" t="s">
        <v>1263</v>
      </c>
      <c r="I183" s="1" t="s">
        <v>1087</v>
      </c>
      <c r="J183">
        <v>2582</v>
      </c>
      <c r="K183" s="1" t="str">
        <f>_xlfn.CONCAT(uslugi49[[#This Row],[ozn]:[nr]])</f>
        <v>OKL80908</v>
      </c>
      <c r="L183" s="1">
        <f>IF(VLOOKUP(uslugi49[[#This Row],[NIP]],nip_firm610[],2,FALSE)="BARTEX",1,0)</f>
        <v>0</v>
      </c>
    </row>
    <row r="184" spans="1:12" x14ac:dyDescent="0.25">
      <c r="A184" s="5" t="s">
        <v>494</v>
      </c>
      <c r="B184" s="6" t="s">
        <v>495</v>
      </c>
      <c r="C184" s="6" t="s">
        <v>496</v>
      </c>
      <c r="D184" s="7" t="s">
        <v>7</v>
      </c>
      <c r="F184">
        <v>1278408463</v>
      </c>
      <c r="G184" s="1" t="s">
        <v>312</v>
      </c>
      <c r="H184" s="1" t="s">
        <v>1264</v>
      </c>
      <c r="I184" s="1" t="s">
        <v>1087</v>
      </c>
      <c r="J184">
        <v>2852</v>
      </c>
      <c r="K184" s="1" t="str">
        <f>_xlfn.CONCAT(uslugi49[[#This Row],[ozn]:[nr]])</f>
        <v>PKO25JE</v>
      </c>
      <c r="L184" s="1">
        <f>IF(VLOOKUP(uslugi49[[#This Row],[NIP]],nip_firm610[],2,FALSE)="BARTEX",1,0)</f>
        <v>0</v>
      </c>
    </row>
    <row r="185" spans="1:12" x14ac:dyDescent="0.25">
      <c r="A185" s="2" t="s">
        <v>497</v>
      </c>
      <c r="B185" s="3" t="s">
        <v>498</v>
      </c>
      <c r="C185" s="3" t="s">
        <v>499</v>
      </c>
      <c r="D185" s="4" t="s">
        <v>7</v>
      </c>
      <c r="F185">
        <v>5229945534</v>
      </c>
      <c r="G185" s="1" t="s">
        <v>248</v>
      </c>
      <c r="H185" s="1" t="s">
        <v>1265</v>
      </c>
      <c r="I185" s="1" t="s">
        <v>1081</v>
      </c>
      <c r="J185">
        <v>1968</v>
      </c>
      <c r="K185" s="1" t="str">
        <f>_xlfn.CONCAT(uslugi49[[#This Row],[ozn]:[nr]])</f>
        <v>SJG40VV</v>
      </c>
      <c r="L185" s="1">
        <f>IF(VLOOKUP(uslugi49[[#This Row],[NIP]],nip_firm610[],2,FALSE)="BARTEX",1,0)</f>
        <v>0</v>
      </c>
    </row>
    <row r="186" spans="1:12" x14ac:dyDescent="0.25">
      <c r="A186" s="5" t="s">
        <v>500</v>
      </c>
      <c r="B186" s="6" t="s">
        <v>501</v>
      </c>
      <c r="C186" s="6" t="s">
        <v>502</v>
      </c>
      <c r="D186" s="7" t="s">
        <v>7</v>
      </c>
      <c r="F186">
        <v>3783578981</v>
      </c>
      <c r="G186" s="1" t="s">
        <v>405</v>
      </c>
      <c r="H186" s="1" t="s">
        <v>1266</v>
      </c>
      <c r="I186" s="1" t="s">
        <v>1081</v>
      </c>
      <c r="J186">
        <v>3160</v>
      </c>
      <c r="K186" s="1" t="str">
        <f>_xlfn.CONCAT(uslugi49[[#This Row],[ozn]:[nr]])</f>
        <v>EL28718</v>
      </c>
      <c r="L186" s="1">
        <f>IF(VLOOKUP(uslugi49[[#This Row],[NIP]],nip_firm610[],2,FALSE)="BARTEX",1,0)</f>
        <v>0</v>
      </c>
    </row>
    <row r="187" spans="1:12" x14ac:dyDescent="0.25">
      <c r="A187" s="2" t="s">
        <v>503</v>
      </c>
      <c r="B187" s="3" t="s">
        <v>504</v>
      </c>
      <c r="C187" s="3" t="s">
        <v>505</v>
      </c>
      <c r="D187" s="4" t="s">
        <v>7</v>
      </c>
      <c r="F187">
        <v>4458233905</v>
      </c>
      <c r="G187" s="1" t="s">
        <v>1003</v>
      </c>
      <c r="H187" s="1" t="s">
        <v>1267</v>
      </c>
      <c r="I187" s="1" t="s">
        <v>1087</v>
      </c>
      <c r="J187">
        <v>2022</v>
      </c>
      <c r="K187" s="1" t="str">
        <f>_xlfn.CONCAT(uslugi49[[#This Row],[ozn]:[nr]])</f>
        <v>DW45333</v>
      </c>
      <c r="L187" s="1">
        <f>IF(VLOOKUP(uslugi49[[#This Row],[NIP]],nip_firm610[],2,FALSE)="BARTEX",1,0)</f>
        <v>0</v>
      </c>
    </row>
    <row r="188" spans="1:12" x14ac:dyDescent="0.25">
      <c r="A188" s="5" t="s">
        <v>506</v>
      </c>
      <c r="B188" s="6" t="s">
        <v>507</v>
      </c>
      <c r="C188" s="6" t="s">
        <v>508</v>
      </c>
      <c r="D188" s="7" t="s">
        <v>7</v>
      </c>
      <c r="F188">
        <v>1871447797</v>
      </c>
      <c r="G188" s="1" t="s">
        <v>248</v>
      </c>
      <c r="H188" s="1" t="s">
        <v>1268</v>
      </c>
      <c r="I188" s="1" t="s">
        <v>1081</v>
      </c>
      <c r="J188">
        <v>2350</v>
      </c>
      <c r="K188" s="1" t="str">
        <f>_xlfn.CONCAT(uslugi49[[#This Row],[ozn]:[nr]])</f>
        <v>SJO54JT</v>
      </c>
      <c r="L188" s="1">
        <f>IF(VLOOKUP(uslugi49[[#This Row],[NIP]],nip_firm610[],2,FALSE)="BARTEX",1,0)</f>
        <v>0</v>
      </c>
    </row>
    <row r="189" spans="1:12" x14ac:dyDescent="0.25">
      <c r="A189" s="2" t="s">
        <v>509</v>
      </c>
      <c r="B189" s="3" t="s">
        <v>507</v>
      </c>
      <c r="C189" s="3" t="s">
        <v>510</v>
      </c>
      <c r="D189" s="4" t="s">
        <v>7</v>
      </c>
      <c r="F189">
        <v>4761158900</v>
      </c>
      <c r="G189" s="1" t="s">
        <v>294</v>
      </c>
      <c r="H189" s="1" t="s">
        <v>1269</v>
      </c>
      <c r="I189" s="1" t="s">
        <v>1087</v>
      </c>
      <c r="J189">
        <v>2468</v>
      </c>
      <c r="K189" s="1" t="str">
        <f>_xlfn.CONCAT(uslugi49[[#This Row],[ozn]:[nr]])</f>
        <v>OKL82019</v>
      </c>
      <c r="L189" s="1">
        <f>IF(VLOOKUP(uslugi49[[#This Row],[NIP]],nip_firm610[],2,FALSE)="BARTEX",1,0)</f>
        <v>0</v>
      </c>
    </row>
    <row r="190" spans="1:12" x14ac:dyDescent="0.25">
      <c r="A190" s="5" t="s">
        <v>511</v>
      </c>
      <c r="B190" s="6" t="s">
        <v>512</v>
      </c>
      <c r="C190" s="6" t="s">
        <v>513</v>
      </c>
      <c r="D190" s="7" t="s">
        <v>7</v>
      </c>
      <c r="F190">
        <v>2581219876</v>
      </c>
      <c r="G190" s="1" t="s">
        <v>141</v>
      </c>
      <c r="H190" s="1" t="s">
        <v>1270</v>
      </c>
      <c r="I190" s="1" t="s">
        <v>1081</v>
      </c>
      <c r="J190">
        <v>2610</v>
      </c>
      <c r="K190" s="1" t="str">
        <f>_xlfn.CONCAT(uslugi49[[#This Row],[ozn]:[nr]])</f>
        <v>NEB6C31</v>
      </c>
      <c r="L190" s="1">
        <f>IF(VLOOKUP(uslugi49[[#This Row],[NIP]],nip_firm610[],2,FALSE)="BARTEX",1,0)</f>
        <v>0</v>
      </c>
    </row>
    <row r="191" spans="1:12" x14ac:dyDescent="0.25">
      <c r="A191" s="2" t="s">
        <v>514</v>
      </c>
      <c r="B191" s="3" t="s">
        <v>515</v>
      </c>
      <c r="C191" s="3" t="s">
        <v>516</v>
      </c>
      <c r="D191" s="4" t="s">
        <v>7</v>
      </c>
      <c r="F191">
        <v>4580185570</v>
      </c>
      <c r="G191" s="1" t="s">
        <v>248</v>
      </c>
      <c r="H191" s="1" t="s">
        <v>1271</v>
      </c>
      <c r="I191" s="1" t="s">
        <v>1087</v>
      </c>
      <c r="J191">
        <v>3204</v>
      </c>
      <c r="K191" s="1" t="str">
        <f>_xlfn.CONCAT(uslugi49[[#This Row],[ozn]:[nr]])</f>
        <v>SJJJ547</v>
      </c>
      <c r="L191" s="1">
        <f>IF(VLOOKUP(uslugi49[[#This Row],[NIP]],nip_firm610[],2,FALSE)="BARTEX",1,0)</f>
        <v>0</v>
      </c>
    </row>
    <row r="192" spans="1:12" x14ac:dyDescent="0.25">
      <c r="A192" s="5" t="s">
        <v>517</v>
      </c>
      <c r="B192" s="6" t="s">
        <v>518</v>
      </c>
      <c r="C192" s="6" t="s">
        <v>519</v>
      </c>
      <c r="D192" s="7" t="s">
        <v>7</v>
      </c>
      <c r="F192">
        <v>1599095267</v>
      </c>
      <c r="G192" s="1" t="s">
        <v>248</v>
      </c>
      <c r="H192" s="1" t="s">
        <v>1272</v>
      </c>
      <c r="I192" s="1" t="s">
        <v>1087</v>
      </c>
      <c r="J192">
        <v>2516</v>
      </c>
      <c r="K192" s="1" t="str">
        <f>_xlfn.CONCAT(uslugi49[[#This Row],[ozn]:[nr]])</f>
        <v>SJPP132</v>
      </c>
      <c r="L192" s="1">
        <f>IF(VLOOKUP(uslugi49[[#This Row],[NIP]],nip_firm610[],2,FALSE)="BARTEX",1,0)</f>
        <v>0</v>
      </c>
    </row>
    <row r="193" spans="1:12" x14ac:dyDescent="0.25">
      <c r="A193" s="2" t="s">
        <v>520</v>
      </c>
      <c r="B193" s="3" t="s">
        <v>521</v>
      </c>
      <c r="C193" s="3" t="s">
        <v>522</v>
      </c>
      <c r="D193" s="4" t="s">
        <v>7</v>
      </c>
      <c r="F193">
        <v>3357631311</v>
      </c>
      <c r="G193" s="1" t="s">
        <v>1030</v>
      </c>
      <c r="H193" s="1" t="s">
        <v>1273</v>
      </c>
      <c r="I193" s="1" t="s">
        <v>1087</v>
      </c>
      <c r="J193">
        <v>1792</v>
      </c>
      <c r="K193" s="1" t="str">
        <f>_xlfn.CONCAT(uslugi49[[#This Row],[ozn]:[nr]])</f>
        <v>LZAV638</v>
      </c>
      <c r="L193" s="1">
        <f>IF(VLOOKUP(uslugi49[[#This Row],[NIP]],nip_firm610[],2,FALSE)="BARTEX",1,0)</f>
        <v>0</v>
      </c>
    </row>
    <row r="194" spans="1:12" x14ac:dyDescent="0.25">
      <c r="A194" s="5" t="s">
        <v>523</v>
      </c>
      <c r="B194" s="6" t="s">
        <v>524</v>
      </c>
      <c r="C194" s="6" t="s">
        <v>525</v>
      </c>
      <c r="D194" s="7" t="s">
        <v>7</v>
      </c>
      <c r="F194">
        <v>4241680809</v>
      </c>
      <c r="G194" s="1" t="s">
        <v>777</v>
      </c>
      <c r="H194" s="1" t="s">
        <v>1274</v>
      </c>
      <c r="I194" s="1" t="s">
        <v>1081</v>
      </c>
      <c r="J194">
        <v>2885</v>
      </c>
      <c r="K194" s="1" t="str">
        <f>_xlfn.CONCAT(uslugi49[[#This Row],[ozn]:[nr]])</f>
        <v>SORH348</v>
      </c>
      <c r="L194" s="1">
        <f>IF(VLOOKUP(uslugi49[[#This Row],[NIP]],nip_firm610[],2,FALSE)="BARTEX",1,0)</f>
        <v>0</v>
      </c>
    </row>
    <row r="195" spans="1:12" x14ac:dyDescent="0.25">
      <c r="A195" s="2" t="s">
        <v>526</v>
      </c>
      <c r="B195" s="3" t="s">
        <v>516</v>
      </c>
      <c r="C195" s="3" t="s">
        <v>516</v>
      </c>
      <c r="D195" s="4" t="s">
        <v>22</v>
      </c>
      <c r="F195">
        <v>2281651150</v>
      </c>
      <c r="G195" s="1" t="s">
        <v>552</v>
      </c>
      <c r="H195" s="1" t="s">
        <v>1275</v>
      </c>
      <c r="I195" s="1" t="s">
        <v>1087</v>
      </c>
      <c r="J195">
        <v>2550</v>
      </c>
      <c r="K195" s="1" t="str">
        <f>_xlfn.CONCAT(uslugi49[[#This Row],[ozn]:[nr]])</f>
        <v>NOL16LG</v>
      </c>
      <c r="L195" s="1">
        <f>IF(VLOOKUP(uslugi49[[#This Row],[NIP]],nip_firm610[],2,FALSE)="BARTEX",1,0)</f>
        <v>0</v>
      </c>
    </row>
    <row r="196" spans="1:12" x14ac:dyDescent="0.25">
      <c r="A196" s="5" t="s">
        <v>527</v>
      </c>
      <c r="B196" s="6" t="s">
        <v>528</v>
      </c>
      <c r="C196" s="6" t="s">
        <v>529</v>
      </c>
      <c r="D196" s="7" t="s">
        <v>7</v>
      </c>
      <c r="F196">
        <v>4779174699</v>
      </c>
      <c r="G196" s="1" t="s">
        <v>1003</v>
      </c>
      <c r="H196" s="1" t="s">
        <v>1276</v>
      </c>
      <c r="I196" s="1" t="s">
        <v>1081</v>
      </c>
      <c r="J196">
        <v>2362</v>
      </c>
      <c r="K196" s="1" t="str">
        <f>_xlfn.CONCAT(uslugi49[[#This Row],[ozn]:[nr]])</f>
        <v>DW3881E</v>
      </c>
      <c r="L196" s="1">
        <f>IF(VLOOKUP(uslugi49[[#This Row],[NIP]],nip_firm610[],2,FALSE)="BARTEX",1,0)</f>
        <v>0</v>
      </c>
    </row>
    <row r="197" spans="1:12" x14ac:dyDescent="0.25">
      <c r="A197" s="2" t="s">
        <v>530</v>
      </c>
      <c r="B197" s="3" t="s">
        <v>531</v>
      </c>
      <c r="C197" s="3" t="s">
        <v>532</v>
      </c>
      <c r="D197" s="4" t="s">
        <v>7</v>
      </c>
      <c r="F197">
        <v>5624201652</v>
      </c>
      <c r="G197" s="1" t="s">
        <v>864</v>
      </c>
      <c r="H197" s="1" t="s">
        <v>1277</v>
      </c>
      <c r="I197" s="1" t="s">
        <v>1081</v>
      </c>
      <c r="J197">
        <v>3216</v>
      </c>
      <c r="K197" s="1" t="str">
        <f>_xlfn.CONCAT(uslugi49[[#This Row],[ozn]:[nr]])</f>
        <v>STA97AK</v>
      </c>
      <c r="L197" s="1">
        <f>IF(VLOOKUP(uslugi49[[#This Row],[NIP]],nip_firm610[],2,FALSE)="BARTEX",1,0)</f>
        <v>0</v>
      </c>
    </row>
    <row r="198" spans="1:12" x14ac:dyDescent="0.25">
      <c r="A198" s="5" t="s">
        <v>533</v>
      </c>
      <c r="B198" s="6" t="s">
        <v>534</v>
      </c>
      <c r="C198" s="6" t="s">
        <v>535</v>
      </c>
      <c r="D198" s="7" t="s">
        <v>7</v>
      </c>
      <c r="F198">
        <v>3866883575</v>
      </c>
      <c r="G198" s="1" t="s">
        <v>434</v>
      </c>
      <c r="H198" s="1" t="s">
        <v>1278</v>
      </c>
      <c r="I198" s="1" t="s">
        <v>1087</v>
      </c>
      <c r="J198">
        <v>2034</v>
      </c>
      <c r="K198" s="1" t="str">
        <f>_xlfn.CONCAT(uslugi49[[#This Row],[ozn]:[nr]])</f>
        <v>LU16798</v>
      </c>
      <c r="L198" s="1">
        <f>IF(VLOOKUP(uslugi49[[#This Row],[NIP]],nip_firm610[],2,FALSE)="BARTEX",1,0)</f>
        <v>0</v>
      </c>
    </row>
    <row r="199" spans="1:12" x14ac:dyDescent="0.25">
      <c r="A199" s="2" t="s">
        <v>536</v>
      </c>
      <c r="B199" s="3" t="s">
        <v>537</v>
      </c>
      <c r="C199" s="3" t="s">
        <v>538</v>
      </c>
      <c r="D199" s="4" t="s">
        <v>7</v>
      </c>
      <c r="F199">
        <v>4796841112</v>
      </c>
      <c r="G199" s="1" t="s">
        <v>533</v>
      </c>
      <c r="H199" s="1" t="s">
        <v>1279</v>
      </c>
      <c r="I199" s="1" t="s">
        <v>1087</v>
      </c>
      <c r="J199">
        <v>1885</v>
      </c>
      <c r="K199" s="1" t="str">
        <f>_xlfn.CONCAT(uslugi49[[#This Row],[ozn]:[nr]])</f>
        <v>DOAK674</v>
      </c>
      <c r="L199" s="1">
        <f>IF(VLOOKUP(uslugi49[[#This Row],[NIP]],nip_firm610[],2,FALSE)="BARTEX",1,0)</f>
        <v>0</v>
      </c>
    </row>
    <row r="200" spans="1:12" x14ac:dyDescent="0.25">
      <c r="A200" s="5" t="s">
        <v>539</v>
      </c>
      <c r="B200" s="6" t="s">
        <v>540</v>
      </c>
      <c r="C200" s="6" t="s">
        <v>538</v>
      </c>
      <c r="D200" s="7" t="s">
        <v>7</v>
      </c>
      <c r="F200">
        <v>5341884086</v>
      </c>
      <c r="G200" s="1" t="s">
        <v>777</v>
      </c>
      <c r="H200" s="1" t="s">
        <v>1280</v>
      </c>
      <c r="I200" s="1" t="s">
        <v>1087</v>
      </c>
      <c r="J200">
        <v>2490</v>
      </c>
      <c r="K200" s="1" t="str">
        <f>_xlfn.CONCAT(uslugi49[[#This Row],[ozn]:[nr]])</f>
        <v>SOSB135</v>
      </c>
      <c r="L200" s="1">
        <f>IF(VLOOKUP(uslugi49[[#This Row],[NIP]],nip_firm610[],2,FALSE)="BARTEX",1,0)</f>
        <v>0</v>
      </c>
    </row>
    <row r="201" spans="1:12" x14ac:dyDescent="0.25">
      <c r="A201" s="2" t="s">
        <v>541</v>
      </c>
      <c r="B201" s="3" t="s">
        <v>542</v>
      </c>
      <c r="C201" s="3" t="s">
        <v>543</v>
      </c>
      <c r="D201" s="4" t="s">
        <v>7</v>
      </c>
      <c r="F201">
        <v>4779174699</v>
      </c>
      <c r="G201" s="1" t="s">
        <v>1003</v>
      </c>
      <c r="H201" s="1" t="s">
        <v>1281</v>
      </c>
      <c r="I201" s="1" t="s">
        <v>1081</v>
      </c>
      <c r="J201">
        <v>2580</v>
      </c>
      <c r="K201" s="1" t="str">
        <f>_xlfn.CONCAT(uslugi49[[#This Row],[ozn]:[nr]])</f>
        <v>DW3831W</v>
      </c>
      <c r="L201" s="1">
        <f>IF(VLOOKUP(uslugi49[[#This Row],[NIP]],nip_firm610[],2,FALSE)="BARTEX",1,0)</f>
        <v>0</v>
      </c>
    </row>
    <row r="202" spans="1:12" x14ac:dyDescent="0.25">
      <c r="A202" s="5" t="s">
        <v>544</v>
      </c>
      <c r="B202" s="6" t="s">
        <v>545</v>
      </c>
      <c r="C202" s="6" t="s">
        <v>546</v>
      </c>
      <c r="D202" s="7" t="s">
        <v>7</v>
      </c>
      <c r="F202">
        <v>5514533376</v>
      </c>
      <c r="G202" s="1" t="s">
        <v>40</v>
      </c>
      <c r="H202" s="1" t="s">
        <v>1282</v>
      </c>
      <c r="I202" s="1" t="s">
        <v>1081</v>
      </c>
      <c r="J202">
        <v>2634</v>
      </c>
      <c r="K202" s="1" t="str">
        <f>_xlfn.CONCAT(uslugi49[[#This Row],[ozn]:[nr]])</f>
        <v>SB26698</v>
      </c>
      <c r="L202" s="1">
        <f>IF(VLOOKUP(uslugi49[[#This Row],[NIP]],nip_firm610[],2,FALSE)="BARTEX",1,0)</f>
        <v>0</v>
      </c>
    </row>
    <row r="203" spans="1:12" x14ac:dyDescent="0.25">
      <c r="A203" s="2" t="s">
        <v>547</v>
      </c>
      <c r="B203" s="3" t="s">
        <v>548</v>
      </c>
      <c r="C203" s="3" t="s">
        <v>549</v>
      </c>
      <c r="D203" s="4" t="s">
        <v>7</v>
      </c>
      <c r="F203">
        <v>3470453173</v>
      </c>
      <c r="G203" s="1" t="s">
        <v>85</v>
      </c>
      <c r="H203" s="1" t="s">
        <v>1283</v>
      </c>
      <c r="I203" s="1" t="s">
        <v>1087</v>
      </c>
      <c r="J203">
        <v>2584</v>
      </c>
      <c r="K203" s="1" t="str">
        <f>_xlfn.CONCAT(uslugi49[[#This Row],[ozn]:[nr]])</f>
        <v>LC7901K</v>
      </c>
      <c r="L203" s="1">
        <f>IF(VLOOKUP(uslugi49[[#This Row],[NIP]],nip_firm610[],2,FALSE)="BARTEX",1,0)</f>
        <v>0</v>
      </c>
    </row>
    <row r="204" spans="1:12" x14ac:dyDescent="0.25">
      <c r="A204" s="5" t="s">
        <v>550</v>
      </c>
      <c r="B204" s="6" t="s">
        <v>551</v>
      </c>
      <c r="C204" s="6" t="s">
        <v>551</v>
      </c>
      <c r="D204" s="7" t="s">
        <v>22</v>
      </c>
      <c r="F204">
        <v>4796841112</v>
      </c>
      <c r="G204" s="1" t="s">
        <v>533</v>
      </c>
      <c r="H204" s="1" t="s">
        <v>1284</v>
      </c>
      <c r="I204" s="1" t="s">
        <v>1081</v>
      </c>
      <c r="J204">
        <v>2576</v>
      </c>
      <c r="K204" s="1" t="str">
        <f>_xlfn.CONCAT(uslugi49[[#This Row],[ozn]:[nr]])</f>
        <v>DOAU676</v>
      </c>
      <c r="L204" s="1">
        <f>IF(VLOOKUP(uslugi49[[#This Row],[NIP]],nip_firm610[],2,FALSE)="BARTEX",1,0)</f>
        <v>0</v>
      </c>
    </row>
    <row r="205" spans="1:12" x14ac:dyDescent="0.25">
      <c r="A205" s="2" t="s">
        <v>552</v>
      </c>
      <c r="B205" s="3" t="s">
        <v>553</v>
      </c>
      <c r="C205" s="3" t="s">
        <v>551</v>
      </c>
      <c r="D205" s="4" t="s">
        <v>7</v>
      </c>
      <c r="F205">
        <v>5266741491</v>
      </c>
      <c r="G205" s="1" t="s">
        <v>777</v>
      </c>
      <c r="H205" s="1" t="s">
        <v>1285</v>
      </c>
      <c r="I205" s="1" t="s">
        <v>1087</v>
      </c>
      <c r="J205">
        <v>1946</v>
      </c>
      <c r="K205" s="1" t="str">
        <f>_xlfn.CONCAT(uslugi49[[#This Row],[ozn]:[nr]])</f>
        <v>SOP44AB</v>
      </c>
      <c r="L205" s="1">
        <f>IF(VLOOKUP(uslugi49[[#This Row],[NIP]],nip_firm610[],2,FALSE)="BARTEX",1,0)</f>
        <v>0</v>
      </c>
    </row>
    <row r="206" spans="1:12" x14ac:dyDescent="0.25">
      <c r="A206" s="5" t="s">
        <v>554</v>
      </c>
      <c r="B206" s="6" t="s">
        <v>555</v>
      </c>
      <c r="C206" s="6" t="s">
        <v>556</v>
      </c>
      <c r="D206" s="7" t="s">
        <v>7</v>
      </c>
      <c r="F206">
        <v>4715154852</v>
      </c>
      <c r="G206" s="1" t="s">
        <v>1003</v>
      </c>
      <c r="H206" s="1" t="s">
        <v>1286</v>
      </c>
      <c r="I206" s="1" t="s">
        <v>1081</v>
      </c>
      <c r="J206">
        <v>2880</v>
      </c>
      <c r="K206" s="1" t="str">
        <f>_xlfn.CONCAT(uslugi49[[#This Row],[ozn]:[nr]])</f>
        <v>DW23613</v>
      </c>
      <c r="L206" s="1">
        <f>IF(VLOOKUP(uslugi49[[#This Row],[NIP]],nip_firm610[],2,FALSE)="BARTEX",1,0)</f>
        <v>0</v>
      </c>
    </row>
    <row r="207" spans="1:12" x14ac:dyDescent="0.25">
      <c r="A207" s="2" t="s">
        <v>557</v>
      </c>
      <c r="B207" s="3" t="s">
        <v>558</v>
      </c>
      <c r="C207" s="3" t="s">
        <v>559</v>
      </c>
      <c r="D207" s="4" t="s">
        <v>7</v>
      </c>
      <c r="F207">
        <v>5418968184</v>
      </c>
      <c r="G207" s="1" t="s">
        <v>777</v>
      </c>
      <c r="H207" s="1" t="s">
        <v>1287</v>
      </c>
      <c r="I207" s="1" t="s">
        <v>1081</v>
      </c>
      <c r="J207">
        <v>2630</v>
      </c>
      <c r="K207" s="1" t="str">
        <f>_xlfn.CONCAT(uslugi49[[#This Row],[ozn]:[nr]])</f>
        <v>SOO64VB</v>
      </c>
      <c r="L207" s="1">
        <f>IF(VLOOKUP(uslugi49[[#This Row],[NIP]],nip_firm610[],2,FALSE)="BARTEX",1,0)</f>
        <v>0</v>
      </c>
    </row>
    <row r="208" spans="1:12" x14ac:dyDescent="0.25">
      <c r="A208" s="5" t="s">
        <v>560</v>
      </c>
      <c r="B208" s="6" t="s">
        <v>561</v>
      </c>
      <c r="C208" s="6" t="s">
        <v>561</v>
      </c>
      <c r="D208" s="7" t="s">
        <v>22</v>
      </c>
      <c r="F208">
        <v>1599095267</v>
      </c>
      <c r="G208" s="1" t="s">
        <v>777</v>
      </c>
      <c r="H208" s="1" t="s">
        <v>1288</v>
      </c>
      <c r="I208" s="1" t="s">
        <v>1087</v>
      </c>
      <c r="J208">
        <v>2112</v>
      </c>
      <c r="K208" s="1" t="str">
        <f>_xlfn.CONCAT(uslugi49[[#This Row],[ozn]:[nr]])</f>
        <v>SOPL129</v>
      </c>
      <c r="L208" s="1">
        <f>IF(VLOOKUP(uslugi49[[#This Row],[NIP]],nip_firm610[],2,FALSE)="BARTEX",1,0)</f>
        <v>0</v>
      </c>
    </row>
    <row r="209" spans="1:12" x14ac:dyDescent="0.25">
      <c r="A209" s="2" t="s">
        <v>562</v>
      </c>
      <c r="B209" s="3" t="s">
        <v>563</v>
      </c>
      <c r="C209" s="3" t="s">
        <v>561</v>
      </c>
      <c r="D209" s="4" t="s">
        <v>7</v>
      </c>
      <c r="F209">
        <v>1433397952</v>
      </c>
      <c r="G209" s="1" t="s">
        <v>314</v>
      </c>
      <c r="H209" s="1" t="s">
        <v>1289</v>
      </c>
      <c r="I209" s="1" t="s">
        <v>1081</v>
      </c>
      <c r="J209">
        <v>2928</v>
      </c>
      <c r="K209" s="1" t="str">
        <f>_xlfn.CONCAT(uslugi49[[#This Row],[ozn]:[nr]])</f>
        <v>PN3621I</v>
      </c>
      <c r="L209" s="1">
        <f>IF(VLOOKUP(uslugi49[[#This Row],[NIP]],nip_firm610[],2,FALSE)="BARTEX",1,0)</f>
        <v>1</v>
      </c>
    </row>
    <row r="210" spans="1:12" x14ac:dyDescent="0.25">
      <c r="A210" s="5" t="s">
        <v>564</v>
      </c>
      <c r="B210" s="6" t="s">
        <v>563</v>
      </c>
      <c r="C210" s="6" t="s">
        <v>565</v>
      </c>
      <c r="D210" s="7" t="s">
        <v>7</v>
      </c>
      <c r="F210">
        <v>2281651150</v>
      </c>
      <c r="G210" s="1" t="s">
        <v>552</v>
      </c>
      <c r="H210" s="1" t="s">
        <v>1290</v>
      </c>
      <c r="I210" s="1" t="s">
        <v>1087</v>
      </c>
      <c r="J210">
        <v>2295</v>
      </c>
      <c r="K210" s="1" t="str">
        <f>_xlfn.CONCAT(uslugi49[[#This Row],[ozn]:[nr]])</f>
        <v>NOLN650</v>
      </c>
      <c r="L210" s="1">
        <f>IF(VLOOKUP(uslugi49[[#This Row],[NIP]],nip_firm610[],2,FALSE)="BARTEX",1,0)</f>
        <v>0</v>
      </c>
    </row>
    <row r="211" spans="1:12" x14ac:dyDescent="0.25">
      <c r="A211" s="2" t="s">
        <v>566</v>
      </c>
      <c r="B211" s="3" t="s">
        <v>567</v>
      </c>
      <c r="C211" s="3" t="s">
        <v>568</v>
      </c>
      <c r="D211" s="4" t="s">
        <v>7</v>
      </c>
      <c r="F211">
        <v>5341884086</v>
      </c>
      <c r="G211" s="1" t="s">
        <v>777</v>
      </c>
      <c r="H211" s="1" t="s">
        <v>1291</v>
      </c>
      <c r="I211" s="1" t="s">
        <v>1081</v>
      </c>
      <c r="J211">
        <v>2556</v>
      </c>
      <c r="K211" s="1" t="str">
        <f>_xlfn.CONCAT(uslugi49[[#This Row],[ozn]:[nr]])</f>
        <v>SOS34YB</v>
      </c>
      <c r="L211" s="1">
        <f>IF(VLOOKUP(uslugi49[[#This Row],[NIP]],nip_firm610[],2,FALSE)="BARTEX",1,0)</f>
        <v>0</v>
      </c>
    </row>
    <row r="212" spans="1:12" x14ac:dyDescent="0.25">
      <c r="A212" s="5" t="s">
        <v>569</v>
      </c>
      <c r="B212" s="6" t="s">
        <v>570</v>
      </c>
      <c r="C212" s="6" t="s">
        <v>571</v>
      </c>
      <c r="D212" s="7" t="s">
        <v>7</v>
      </c>
      <c r="F212">
        <v>3568004264</v>
      </c>
      <c r="G212" s="1" t="s">
        <v>428</v>
      </c>
      <c r="H212" s="1" t="s">
        <v>1292</v>
      </c>
      <c r="I212" s="1" t="s">
        <v>1081</v>
      </c>
      <c r="J212">
        <v>2568</v>
      </c>
      <c r="K212" s="1" t="str">
        <f>_xlfn.CONCAT(uslugi49[[#This Row],[ozn]:[nr]])</f>
        <v>LUBZ620</v>
      </c>
      <c r="L212" s="1">
        <f>IF(VLOOKUP(uslugi49[[#This Row],[NIP]],nip_firm610[],2,FALSE)="BARTEX",1,0)</f>
        <v>0</v>
      </c>
    </row>
    <row r="213" spans="1:12" x14ac:dyDescent="0.25">
      <c r="A213" s="2" t="s">
        <v>572</v>
      </c>
      <c r="B213" s="3" t="s">
        <v>571</v>
      </c>
      <c r="C213" s="3" t="s">
        <v>571</v>
      </c>
      <c r="D213" s="4" t="s">
        <v>22</v>
      </c>
      <c r="F213">
        <v>5185759244</v>
      </c>
      <c r="G213" s="1" t="s">
        <v>777</v>
      </c>
      <c r="H213" s="1" t="s">
        <v>1293</v>
      </c>
      <c r="I213" s="1" t="s">
        <v>1081</v>
      </c>
      <c r="J213">
        <v>2674</v>
      </c>
      <c r="K213" s="1" t="str">
        <f>_xlfn.CONCAT(uslugi49[[#This Row],[ozn]:[nr]])</f>
        <v>SOY28XU</v>
      </c>
      <c r="L213" s="1">
        <f>IF(VLOOKUP(uslugi49[[#This Row],[NIP]],nip_firm610[],2,FALSE)="BARTEX",1,0)</f>
        <v>0</v>
      </c>
    </row>
    <row r="214" spans="1:12" x14ac:dyDescent="0.25">
      <c r="A214" s="5" t="s">
        <v>573</v>
      </c>
      <c r="B214" s="6" t="s">
        <v>574</v>
      </c>
      <c r="C214" s="6" t="s">
        <v>575</v>
      </c>
      <c r="D214" s="7" t="s">
        <v>7</v>
      </c>
      <c r="F214">
        <v>4326751508</v>
      </c>
      <c r="G214" s="1" t="s">
        <v>40</v>
      </c>
      <c r="H214" s="1" t="s">
        <v>1294</v>
      </c>
      <c r="I214" s="1" t="s">
        <v>1081</v>
      </c>
      <c r="J214">
        <v>3120</v>
      </c>
      <c r="K214" s="1" t="str">
        <f>_xlfn.CONCAT(uslugi49[[#This Row],[ozn]:[nr]])</f>
        <v>SB47578</v>
      </c>
      <c r="L214" s="1">
        <f>IF(VLOOKUP(uslugi49[[#This Row],[NIP]],nip_firm610[],2,FALSE)="BARTEX",1,0)</f>
        <v>0</v>
      </c>
    </row>
    <row r="215" spans="1:12" x14ac:dyDescent="0.25">
      <c r="A215" s="2" t="s">
        <v>576</v>
      </c>
      <c r="B215" s="3" t="s">
        <v>577</v>
      </c>
      <c r="C215" s="3" t="s">
        <v>578</v>
      </c>
      <c r="D215" s="4" t="s">
        <v>7</v>
      </c>
      <c r="F215">
        <v>1433397952</v>
      </c>
      <c r="G215" s="1" t="s">
        <v>314</v>
      </c>
      <c r="H215" s="1" t="s">
        <v>1295</v>
      </c>
      <c r="I215" s="1" t="s">
        <v>1087</v>
      </c>
      <c r="J215">
        <v>1896</v>
      </c>
      <c r="K215" s="1" t="str">
        <f>_xlfn.CONCAT(uslugi49[[#This Row],[ozn]:[nr]])</f>
        <v>PN16834</v>
      </c>
      <c r="L215" s="1">
        <f>IF(VLOOKUP(uslugi49[[#This Row],[NIP]],nip_firm610[],2,FALSE)="BARTEX",1,0)</f>
        <v>1</v>
      </c>
    </row>
    <row r="216" spans="1:12" x14ac:dyDescent="0.25">
      <c r="A216" s="5" t="s">
        <v>579</v>
      </c>
      <c r="B216" s="6" t="s">
        <v>577</v>
      </c>
      <c r="C216" s="6" t="s">
        <v>580</v>
      </c>
      <c r="D216" s="7" t="s">
        <v>7</v>
      </c>
      <c r="F216">
        <v>4779174699</v>
      </c>
      <c r="G216" s="1" t="s">
        <v>1003</v>
      </c>
      <c r="H216" s="1" t="s">
        <v>1296</v>
      </c>
      <c r="I216" s="1" t="s">
        <v>1087</v>
      </c>
      <c r="J216">
        <v>2608</v>
      </c>
      <c r="K216" s="1" t="str">
        <f>_xlfn.CONCAT(uslugi49[[#This Row],[ozn]:[nr]])</f>
        <v>DW16844</v>
      </c>
      <c r="L216" s="1">
        <f>IF(VLOOKUP(uslugi49[[#This Row],[NIP]],nip_firm610[],2,FALSE)="BARTEX",1,0)</f>
        <v>0</v>
      </c>
    </row>
    <row r="217" spans="1:12" x14ac:dyDescent="0.25">
      <c r="A217" s="2" t="s">
        <v>581</v>
      </c>
      <c r="B217" s="3" t="s">
        <v>582</v>
      </c>
      <c r="C217" s="3" t="s">
        <v>583</v>
      </c>
      <c r="D217" s="4" t="s">
        <v>7</v>
      </c>
      <c r="F217">
        <v>3678947206</v>
      </c>
      <c r="G217" s="1" t="s">
        <v>527</v>
      </c>
      <c r="H217" s="1" t="s">
        <v>1297</v>
      </c>
      <c r="I217" s="1" t="s">
        <v>1087</v>
      </c>
      <c r="J217">
        <v>2154</v>
      </c>
      <c r="K217" s="1" t="str">
        <f>_xlfn.CONCAT(uslugi49[[#This Row],[ozn]:[nr]])</f>
        <v>ONY1267</v>
      </c>
      <c r="L217" s="1">
        <f>IF(VLOOKUP(uslugi49[[#This Row],[NIP]],nip_firm610[],2,FALSE)="BARTEX",1,0)</f>
        <v>0</v>
      </c>
    </row>
    <row r="218" spans="1:12" x14ac:dyDescent="0.25">
      <c r="A218" s="5" t="s">
        <v>584</v>
      </c>
      <c r="B218" s="6" t="s">
        <v>585</v>
      </c>
      <c r="C218" s="6" t="s">
        <v>586</v>
      </c>
      <c r="D218" s="7" t="s">
        <v>7</v>
      </c>
      <c r="F218">
        <v>1939065269</v>
      </c>
      <c r="G218" s="1" t="s">
        <v>636</v>
      </c>
      <c r="H218" s="1" t="s">
        <v>1298</v>
      </c>
      <c r="I218" s="1" t="s">
        <v>1081</v>
      </c>
      <c r="J218">
        <v>2328</v>
      </c>
      <c r="K218" s="1" t="str">
        <f>_xlfn.CONCAT(uslugi49[[#This Row],[ozn]:[nr]])</f>
        <v>PO16882</v>
      </c>
      <c r="L218" s="1">
        <f>IF(VLOOKUP(uslugi49[[#This Row],[NIP]],nip_firm610[],2,FALSE)="BARTEX",1,0)</f>
        <v>0</v>
      </c>
    </row>
    <row r="219" spans="1:12" x14ac:dyDescent="0.25">
      <c r="A219" s="2" t="s">
        <v>587</v>
      </c>
      <c r="B219" s="3" t="s">
        <v>588</v>
      </c>
      <c r="C219" s="3" t="s">
        <v>589</v>
      </c>
      <c r="D219" s="4" t="s">
        <v>7</v>
      </c>
      <c r="F219">
        <v>5514533376</v>
      </c>
      <c r="G219" s="1" t="s">
        <v>255</v>
      </c>
      <c r="H219" s="1" t="s">
        <v>1299</v>
      </c>
      <c r="I219" s="1" t="s">
        <v>1081</v>
      </c>
      <c r="J219">
        <v>2548</v>
      </c>
      <c r="K219" s="1" t="str">
        <f>_xlfn.CONCAT(uslugi49[[#This Row],[ozn]:[nr]])</f>
        <v>DJE25688</v>
      </c>
      <c r="L219" s="1">
        <f>IF(VLOOKUP(uslugi49[[#This Row],[NIP]],nip_firm610[],2,FALSE)="BARTEX",1,0)</f>
        <v>0</v>
      </c>
    </row>
    <row r="220" spans="1:12" x14ac:dyDescent="0.25">
      <c r="A220" s="5" t="s">
        <v>590</v>
      </c>
      <c r="B220" s="6" t="s">
        <v>591</v>
      </c>
      <c r="C220" s="6" t="s">
        <v>592</v>
      </c>
      <c r="D220" s="7" t="s">
        <v>7</v>
      </c>
      <c r="F220">
        <v>5115061689</v>
      </c>
      <c r="G220" s="1" t="s">
        <v>704</v>
      </c>
      <c r="H220" s="1" t="s">
        <v>1300</v>
      </c>
      <c r="I220" s="1" t="s">
        <v>1087</v>
      </c>
      <c r="J220">
        <v>1902</v>
      </c>
      <c r="K220" s="1" t="str">
        <f>_xlfn.CONCAT(uslugi49[[#This Row],[ozn]:[nr]])</f>
        <v>SRSJ666</v>
      </c>
      <c r="L220" s="1">
        <f>IF(VLOOKUP(uslugi49[[#This Row],[NIP]],nip_firm610[],2,FALSE)="BARTEX",1,0)</f>
        <v>0</v>
      </c>
    </row>
    <row r="221" spans="1:12" x14ac:dyDescent="0.25">
      <c r="A221" s="2" t="s">
        <v>593</v>
      </c>
      <c r="B221" s="3" t="s">
        <v>594</v>
      </c>
      <c r="C221" s="3" t="s">
        <v>595</v>
      </c>
      <c r="D221" s="4" t="s">
        <v>7</v>
      </c>
      <c r="F221">
        <v>4326751508</v>
      </c>
      <c r="G221" s="1" t="s">
        <v>255</v>
      </c>
      <c r="H221" s="1" t="s">
        <v>1301</v>
      </c>
      <c r="I221" s="1" t="s">
        <v>1081</v>
      </c>
      <c r="J221">
        <v>2456</v>
      </c>
      <c r="K221" s="1" t="str">
        <f>_xlfn.CONCAT(uslugi49[[#This Row],[ozn]:[nr]])</f>
        <v>DJE52022</v>
      </c>
      <c r="L221" s="1">
        <f>IF(VLOOKUP(uslugi49[[#This Row],[NIP]],nip_firm610[],2,FALSE)="BARTEX",1,0)</f>
        <v>0</v>
      </c>
    </row>
    <row r="222" spans="1:12" x14ac:dyDescent="0.25">
      <c r="A222" s="5" t="s">
        <v>596</v>
      </c>
      <c r="B222" s="6" t="s">
        <v>597</v>
      </c>
      <c r="C222" s="6" t="s">
        <v>598</v>
      </c>
      <c r="D222" s="7" t="s">
        <v>7</v>
      </c>
      <c r="F222">
        <v>1278408463</v>
      </c>
      <c r="G222" s="1" t="s">
        <v>312</v>
      </c>
      <c r="H222" s="1" t="s">
        <v>1302</v>
      </c>
      <c r="I222" s="1" t="s">
        <v>1087</v>
      </c>
      <c r="J222">
        <v>2544</v>
      </c>
      <c r="K222" s="1" t="str">
        <f>_xlfn.CONCAT(uslugi49[[#This Row],[ozn]:[nr]])</f>
        <v>PKO94RF</v>
      </c>
      <c r="L222" s="1">
        <f>IF(VLOOKUP(uslugi49[[#This Row],[NIP]],nip_firm610[],2,FALSE)="BARTEX",1,0)</f>
        <v>0</v>
      </c>
    </row>
    <row r="223" spans="1:12" x14ac:dyDescent="0.25">
      <c r="A223" s="2" t="s">
        <v>599</v>
      </c>
      <c r="B223" s="3" t="s">
        <v>600</v>
      </c>
      <c r="C223" s="3" t="s">
        <v>601</v>
      </c>
      <c r="D223" s="4" t="s">
        <v>7</v>
      </c>
      <c r="F223">
        <v>5528435390</v>
      </c>
      <c r="G223" s="1" t="s">
        <v>777</v>
      </c>
      <c r="H223" s="1" t="s">
        <v>1303</v>
      </c>
      <c r="I223" s="1" t="s">
        <v>1081</v>
      </c>
      <c r="J223">
        <v>3495</v>
      </c>
      <c r="K223" s="1" t="str">
        <f>_xlfn.CONCAT(uslugi49[[#This Row],[ozn]:[nr]])</f>
        <v>SOA40FT</v>
      </c>
      <c r="L223" s="1">
        <f>IF(VLOOKUP(uslugi49[[#This Row],[NIP]],nip_firm610[],2,FALSE)="BARTEX",1,0)</f>
        <v>0</v>
      </c>
    </row>
    <row r="224" spans="1:12" x14ac:dyDescent="0.25">
      <c r="A224" s="5" t="s">
        <v>602</v>
      </c>
      <c r="B224" s="6" t="s">
        <v>603</v>
      </c>
      <c r="C224" s="6" t="s">
        <v>603</v>
      </c>
      <c r="D224" s="7" t="s">
        <v>22</v>
      </c>
      <c r="F224">
        <v>2138598159</v>
      </c>
      <c r="G224" s="1" t="s">
        <v>143</v>
      </c>
      <c r="H224" s="1" t="s">
        <v>1304</v>
      </c>
      <c r="I224" s="1" t="s">
        <v>1081</v>
      </c>
      <c r="J224">
        <v>2550</v>
      </c>
      <c r="K224" s="1" t="str">
        <f>_xlfn.CONCAT(uslugi49[[#This Row],[ozn]:[nr]])</f>
        <v>NELB596</v>
      </c>
      <c r="L224" s="1">
        <f>IF(VLOOKUP(uslugi49[[#This Row],[NIP]],nip_firm610[],2,FALSE)="BARTEX",1,0)</f>
        <v>0</v>
      </c>
    </row>
    <row r="225" spans="1:12" x14ac:dyDescent="0.25">
      <c r="A225" s="2" t="s">
        <v>604</v>
      </c>
      <c r="B225" s="3" t="s">
        <v>605</v>
      </c>
      <c r="C225" s="3" t="s">
        <v>606</v>
      </c>
      <c r="D225" s="4" t="s">
        <v>7</v>
      </c>
      <c r="F225">
        <v>1599095267</v>
      </c>
      <c r="G225" s="1" t="s">
        <v>777</v>
      </c>
      <c r="H225" s="1" t="s">
        <v>1305</v>
      </c>
      <c r="I225" s="1" t="s">
        <v>1087</v>
      </c>
      <c r="J225">
        <v>2448</v>
      </c>
      <c r="K225" s="1" t="str">
        <f>_xlfn.CONCAT(uslugi49[[#This Row],[ozn]:[nr]])</f>
        <v>SOPW131</v>
      </c>
      <c r="L225" s="1">
        <f>IF(VLOOKUP(uslugi49[[#This Row],[NIP]],nip_firm610[],2,FALSE)="BARTEX",1,0)</f>
        <v>0</v>
      </c>
    </row>
    <row r="226" spans="1:12" x14ac:dyDescent="0.25">
      <c r="A226" s="5" t="s">
        <v>607</v>
      </c>
      <c r="B226" s="6" t="s">
        <v>608</v>
      </c>
      <c r="C226" s="6" t="s">
        <v>609</v>
      </c>
      <c r="D226" s="7" t="s">
        <v>7</v>
      </c>
      <c r="F226">
        <v>5341884086</v>
      </c>
      <c r="G226" s="1" t="s">
        <v>777</v>
      </c>
      <c r="H226" s="1" t="s">
        <v>1306</v>
      </c>
      <c r="I226" s="1" t="s">
        <v>1081</v>
      </c>
      <c r="J226">
        <v>3645</v>
      </c>
      <c r="K226" s="1" t="str">
        <f>_xlfn.CONCAT(uslugi49[[#This Row],[ozn]:[nr]])</f>
        <v>SOSX136</v>
      </c>
      <c r="L226" s="1">
        <f>IF(VLOOKUP(uslugi49[[#This Row],[NIP]],nip_firm610[],2,FALSE)="BARTEX",1,0)</f>
        <v>0</v>
      </c>
    </row>
    <row r="227" spans="1:12" x14ac:dyDescent="0.25">
      <c r="A227" s="2" t="s">
        <v>610</v>
      </c>
      <c r="B227" s="3" t="s">
        <v>611</v>
      </c>
      <c r="C227" s="3" t="s">
        <v>611</v>
      </c>
      <c r="D227" s="4" t="s">
        <v>22</v>
      </c>
      <c r="F227">
        <v>1433397952</v>
      </c>
      <c r="G227" s="1" t="s">
        <v>314</v>
      </c>
      <c r="H227" s="1" t="s">
        <v>1307</v>
      </c>
      <c r="I227" s="1" t="s">
        <v>1087</v>
      </c>
      <c r="J227">
        <v>2935</v>
      </c>
      <c r="K227" s="1" t="str">
        <f>_xlfn.CONCAT(uslugi49[[#This Row],[ozn]:[nr]])</f>
        <v>PN16822</v>
      </c>
      <c r="L227" s="1">
        <f>IF(VLOOKUP(uslugi49[[#This Row],[NIP]],nip_firm610[],2,FALSE)="BARTEX",1,0)</f>
        <v>1</v>
      </c>
    </row>
    <row r="228" spans="1:12" x14ac:dyDescent="0.25">
      <c r="A228" s="5" t="s">
        <v>612</v>
      </c>
      <c r="B228" s="6" t="s">
        <v>613</v>
      </c>
      <c r="C228" s="6" t="s">
        <v>611</v>
      </c>
      <c r="D228" s="7" t="s">
        <v>7</v>
      </c>
      <c r="F228">
        <v>2138598159</v>
      </c>
      <c r="G228" s="1" t="s">
        <v>143</v>
      </c>
      <c r="H228" s="1" t="s">
        <v>1308</v>
      </c>
      <c r="I228" s="1" t="s">
        <v>1087</v>
      </c>
      <c r="J228">
        <v>2834</v>
      </c>
      <c r="K228" s="1" t="str">
        <f>_xlfn.CONCAT(uslugi49[[#This Row],[ozn]:[nr]])</f>
        <v>NELI594</v>
      </c>
      <c r="L228" s="1">
        <f>IF(VLOOKUP(uslugi49[[#This Row],[NIP]],nip_firm610[],2,FALSE)="BARTEX",1,0)</f>
        <v>0</v>
      </c>
    </row>
    <row r="229" spans="1:12" x14ac:dyDescent="0.25">
      <c r="A229" s="2" t="s">
        <v>614</v>
      </c>
      <c r="B229" s="3" t="s">
        <v>615</v>
      </c>
      <c r="C229" s="3" t="s">
        <v>616</v>
      </c>
      <c r="D229" s="4" t="s">
        <v>7</v>
      </c>
      <c r="F229">
        <v>2625657803</v>
      </c>
      <c r="G229" s="1" t="s">
        <v>777</v>
      </c>
      <c r="H229" s="1" t="s">
        <v>1309</v>
      </c>
      <c r="I229" s="1" t="s">
        <v>1087</v>
      </c>
      <c r="J229">
        <v>1624</v>
      </c>
      <c r="K229" s="1" t="str">
        <f>_xlfn.CONCAT(uslugi49[[#This Row],[ozn]:[nr]])</f>
        <v>SOU50HG</v>
      </c>
      <c r="L229" s="1">
        <f>IF(VLOOKUP(uslugi49[[#This Row],[NIP]],nip_firm610[],2,FALSE)="BARTEX",1,0)</f>
        <v>0</v>
      </c>
    </row>
    <row r="230" spans="1:12" x14ac:dyDescent="0.25">
      <c r="A230" s="5" t="s">
        <v>617</v>
      </c>
      <c r="B230" s="6" t="s">
        <v>618</v>
      </c>
      <c r="C230" s="6" t="s">
        <v>619</v>
      </c>
      <c r="D230" s="7" t="s">
        <v>7</v>
      </c>
      <c r="F230">
        <v>1939065269</v>
      </c>
      <c r="G230" s="1" t="s">
        <v>636</v>
      </c>
      <c r="H230" s="1" t="s">
        <v>1310</v>
      </c>
      <c r="I230" s="1" t="s">
        <v>1081</v>
      </c>
      <c r="J230">
        <v>2574</v>
      </c>
      <c r="K230" s="1" t="str">
        <f>_xlfn.CONCAT(uslugi49[[#This Row],[ozn]:[nr]])</f>
        <v>PO3951A</v>
      </c>
      <c r="L230" s="1">
        <f>IF(VLOOKUP(uslugi49[[#This Row],[NIP]],nip_firm610[],2,FALSE)="BARTEX",1,0)</f>
        <v>0</v>
      </c>
    </row>
    <row r="231" spans="1:12" x14ac:dyDescent="0.25">
      <c r="A231" s="2" t="s">
        <v>620</v>
      </c>
      <c r="B231" s="3" t="s">
        <v>621</v>
      </c>
      <c r="C231" s="3" t="s">
        <v>621</v>
      </c>
      <c r="D231" s="4" t="s">
        <v>22</v>
      </c>
      <c r="F231">
        <v>4326751508</v>
      </c>
      <c r="G231" s="1" t="s">
        <v>255</v>
      </c>
      <c r="H231" s="1" t="s">
        <v>1311</v>
      </c>
      <c r="I231" s="1" t="s">
        <v>1087</v>
      </c>
      <c r="J231">
        <v>1806</v>
      </c>
      <c r="K231" s="1" t="str">
        <f>_xlfn.CONCAT(uslugi49[[#This Row],[ozn]:[nr]])</f>
        <v>DJE54244</v>
      </c>
      <c r="L231" s="1">
        <f>IF(VLOOKUP(uslugi49[[#This Row],[NIP]],nip_firm610[],2,FALSE)="BARTEX",1,0)</f>
        <v>0</v>
      </c>
    </row>
    <row r="232" spans="1:12" x14ac:dyDescent="0.25">
      <c r="A232" s="5" t="s">
        <v>622</v>
      </c>
      <c r="B232" s="6" t="s">
        <v>623</v>
      </c>
      <c r="C232" s="6" t="s">
        <v>621</v>
      </c>
      <c r="D232" s="7" t="s">
        <v>7</v>
      </c>
      <c r="F232">
        <v>2138598159</v>
      </c>
      <c r="G232" s="1" t="s">
        <v>143</v>
      </c>
      <c r="H232" s="1" t="s">
        <v>1312</v>
      </c>
      <c r="I232" s="1" t="s">
        <v>1087</v>
      </c>
      <c r="J232">
        <v>3204</v>
      </c>
      <c r="K232" s="1" t="str">
        <f>_xlfn.CONCAT(uslugi49[[#This Row],[ozn]:[nr]])</f>
        <v>NELH592</v>
      </c>
      <c r="L232" s="1">
        <f>IF(VLOOKUP(uslugi49[[#This Row],[NIP]],nip_firm610[],2,FALSE)="BARTEX",1,0)</f>
        <v>0</v>
      </c>
    </row>
    <row r="233" spans="1:12" x14ac:dyDescent="0.25">
      <c r="A233" s="2" t="s">
        <v>624</v>
      </c>
      <c r="B233" s="3" t="s">
        <v>625</v>
      </c>
      <c r="C233" s="3" t="s">
        <v>626</v>
      </c>
      <c r="D233" s="4" t="s">
        <v>7</v>
      </c>
      <c r="F233">
        <v>4779174699</v>
      </c>
      <c r="G233" s="1" t="s">
        <v>1003</v>
      </c>
      <c r="H233" s="1" t="s">
        <v>1313</v>
      </c>
      <c r="I233" s="1" t="s">
        <v>1087</v>
      </c>
      <c r="J233">
        <v>1618</v>
      </c>
      <c r="K233" s="1" t="str">
        <f>_xlfn.CONCAT(uslugi49[[#This Row],[ozn]:[nr]])</f>
        <v>DW3861S</v>
      </c>
      <c r="L233" s="1">
        <f>IF(VLOOKUP(uslugi49[[#This Row],[NIP]],nip_firm610[],2,FALSE)="BARTEX",1,0)</f>
        <v>0</v>
      </c>
    </row>
    <row r="234" spans="1:12" x14ac:dyDescent="0.25">
      <c r="A234" s="5" t="s">
        <v>627</v>
      </c>
      <c r="B234" s="6" t="s">
        <v>628</v>
      </c>
      <c r="C234" s="6" t="s">
        <v>629</v>
      </c>
      <c r="D234" s="7" t="s">
        <v>7</v>
      </c>
      <c r="F234">
        <v>3568004264</v>
      </c>
      <c r="G234" s="1" t="s">
        <v>428</v>
      </c>
      <c r="H234" s="1" t="s">
        <v>1314</v>
      </c>
      <c r="I234" s="1" t="s">
        <v>1087</v>
      </c>
      <c r="J234">
        <v>2720</v>
      </c>
      <c r="K234" s="1" t="str">
        <f>_xlfn.CONCAT(uslugi49[[#This Row],[ozn]:[nr]])</f>
        <v>LUBX626</v>
      </c>
      <c r="L234" s="1">
        <f>IF(VLOOKUP(uslugi49[[#This Row],[NIP]],nip_firm610[],2,FALSE)="BARTEX",1,0)</f>
        <v>0</v>
      </c>
    </row>
    <row r="235" spans="1:12" x14ac:dyDescent="0.25">
      <c r="A235" s="2" t="s">
        <v>630</v>
      </c>
      <c r="B235" s="3" t="s">
        <v>631</v>
      </c>
      <c r="C235" s="3" t="s">
        <v>632</v>
      </c>
      <c r="D235" s="4" t="s">
        <v>7</v>
      </c>
      <c r="F235">
        <v>5115061689</v>
      </c>
      <c r="G235" s="1" t="s">
        <v>704</v>
      </c>
      <c r="H235" s="1" t="s">
        <v>1315</v>
      </c>
      <c r="I235" s="1" t="s">
        <v>1087</v>
      </c>
      <c r="J235">
        <v>3192</v>
      </c>
      <c r="K235" s="1" t="str">
        <f>_xlfn.CONCAT(uslugi49[[#This Row],[ozn]:[nr]])</f>
        <v>SRS18IT</v>
      </c>
      <c r="L235" s="1">
        <f>IF(VLOOKUP(uslugi49[[#This Row],[NIP]],nip_firm610[],2,FALSE)="BARTEX",1,0)</f>
        <v>0</v>
      </c>
    </row>
    <row r="236" spans="1:12" x14ac:dyDescent="0.25">
      <c r="A236" s="5" t="s">
        <v>633</v>
      </c>
      <c r="B236" s="6" t="s">
        <v>634</v>
      </c>
      <c r="C236" s="6" t="s">
        <v>635</v>
      </c>
      <c r="D236" s="7" t="s">
        <v>7</v>
      </c>
      <c r="F236">
        <v>1361555378</v>
      </c>
      <c r="G236" s="1" t="s">
        <v>1022</v>
      </c>
      <c r="H236" s="1" t="s">
        <v>1316</v>
      </c>
      <c r="I236" s="1" t="s">
        <v>1087</v>
      </c>
      <c r="J236">
        <v>2559</v>
      </c>
      <c r="K236" s="1" t="str">
        <f>_xlfn.CONCAT(uslugi49[[#This Row],[ozn]:[nr]])</f>
        <v>SZWS237</v>
      </c>
      <c r="L236" s="1">
        <f>IF(VLOOKUP(uslugi49[[#This Row],[NIP]],nip_firm610[],2,FALSE)="BARTEX",1,0)</f>
        <v>0</v>
      </c>
    </row>
    <row r="237" spans="1:12" x14ac:dyDescent="0.25">
      <c r="A237" s="2" t="s">
        <v>636</v>
      </c>
      <c r="B237" s="3" t="s">
        <v>637</v>
      </c>
      <c r="C237" s="3" t="s">
        <v>637</v>
      </c>
      <c r="D237" s="4" t="s">
        <v>22</v>
      </c>
      <c r="F237">
        <v>3866883575</v>
      </c>
      <c r="G237" s="1" t="s">
        <v>434</v>
      </c>
      <c r="H237" s="1" t="s">
        <v>1317</v>
      </c>
      <c r="I237" s="1" t="s">
        <v>1081</v>
      </c>
      <c r="J237">
        <v>2145</v>
      </c>
      <c r="K237" s="1" t="str">
        <f>_xlfn.CONCAT(uslugi49[[#This Row],[ozn]:[nr]])</f>
        <v>LU16796</v>
      </c>
      <c r="L237" s="1">
        <f>IF(VLOOKUP(uslugi49[[#This Row],[NIP]],nip_firm610[],2,FALSE)="BARTEX",1,0)</f>
        <v>0</v>
      </c>
    </row>
    <row r="238" spans="1:12" x14ac:dyDescent="0.25">
      <c r="A238" s="5" t="s">
        <v>638</v>
      </c>
      <c r="B238" s="6" t="s">
        <v>639</v>
      </c>
      <c r="C238" s="6" t="s">
        <v>637</v>
      </c>
      <c r="D238" s="7" t="s">
        <v>7</v>
      </c>
      <c r="F238">
        <v>4761158900</v>
      </c>
      <c r="G238" s="1" t="s">
        <v>294</v>
      </c>
      <c r="H238" s="1" t="s">
        <v>1318</v>
      </c>
      <c r="I238" s="1" t="s">
        <v>1081</v>
      </c>
      <c r="J238">
        <v>2674</v>
      </c>
      <c r="K238" s="1" t="str">
        <f>_xlfn.CONCAT(uslugi49[[#This Row],[ozn]:[nr]])</f>
        <v>OKL73131</v>
      </c>
      <c r="L238" s="1">
        <f>IF(VLOOKUP(uslugi49[[#This Row],[NIP]],nip_firm610[],2,FALSE)="BARTEX",1,0)</f>
        <v>0</v>
      </c>
    </row>
    <row r="239" spans="1:12" x14ac:dyDescent="0.25">
      <c r="A239" s="2" t="s">
        <v>640</v>
      </c>
      <c r="B239" s="3" t="s">
        <v>641</v>
      </c>
      <c r="C239" s="3" t="s">
        <v>642</v>
      </c>
      <c r="D239" s="4" t="s">
        <v>7</v>
      </c>
      <c r="F239">
        <v>4779174699</v>
      </c>
      <c r="G239" s="1" t="s">
        <v>1003</v>
      </c>
      <c r="H239" s="1" t="s">
        <v>1319</v>
      </c>
      <c r="I239" s="1" t="s">
        <v>1081</v>
      </c>
      <c r="J239">
        <v>2192</v>
      </c>
      <c r="K239" s="1" t="str">
        <f>_xlfn.CONCAT(uslugi49[[#This Row],[ozn]:[nr]])</f>
        <v>DW16846</v>
      </c>
      <c r="L239" s="1">
        <f>IF(VLOOKUP(uslugi49[[#This Row],[NIP]],nip_firm610[],2,FALSE)="BARTEX",1,0)</f>
        <v>0</v>
      </c>
    </row>
    <row r="240" spans="1:12" x14ac:dyDescent="0.25">
      <c r="A240" s="5" t="s">
        <v>643</v>
      </c>
      <c r="B240" s="6" t="s">
        <v>644</v>
      </c>
      <c r="C240" s="6" t="s">
        <v>645</v>
      </c>
      <c r="D240" s="7" t="s">
        <v>7</v>
      </c>
      <c r="F240">
        <v>6727559092</v>
      </c>
      <c r="G240" s="1" t="s">
        <v>562</v>
      </c>
      <c r="H240" s="1" t="s">
        <v>1320</v>
      </c>
      <c r="I240" s="1" t="s">
        <v>1081</v>
      </c>
      <c r="J240">
        <v>2480</v>
      </c>
      <c r="K240" s="1" t="str">
        <f>_xlfn.CONCAT(uslugi49[[#This Row],[ozn]:[nr]])</f>
        <v>OPO345G</v>
      </c>
      <c r="L240" s="1">
        <f>IF(VLOOKUP(uslugi49[[#This Row],[NIP]],nip_firm610[],2,FALSE)="BARTEX",1,0)</f>
        <v>0</v>
      </c>
    </row>
    <row r="241" spans="1:12" x14ac:dyDescent="0.25">
      <c r="A241" s="2" t="s">
        <v>646</v>
      </c>
      <c r="B241" s="3" t="s">
        <v>647</v>
      </c>
      <c r="C241" s="3" t="s">
        <v>648</v>
      </c>
      <c r="D241" s="4" t="s">
        <v>7</v>
      </c>
      <c r="F241">
        <v>4761158900</v>
      </c>
      <c r="G241" s="1" t="s">
        <v>29</v>
      </c>
      <c r="H241" s="1" t="s">
        <v>1321</v>
      </c>
      <c r="I241" s="1" t="s">
        <v>1087</v>
      </c>
      <c r="J241">
        <v>2578</v>
      </c>
      <c r="K241" s="1" t="str">
        <f>_xlfn.CONCAT(uslugi49[[#This Row],[ozn]:[nr]])</f>
        <v>BIA78686</v>
      </c>
      <c r="L241" s="1">
        <f>IF(VLOOKUP(uslugi49[[#This Row],[NIP]],nip_firm610[],2,FALSE)="BARTEX",1,0)</f>
        <v>0</v>
      </c>
    </row>
    <row r="242" spans="1:12" x14ac:dyDescent="0.25">
      <c r="A242" s="5" t="s">
        <v>649</v>
      </c>
      <c r="B242" s="6" t="s">
        <v>650</v>
      </c>
      <c r="C242" s="6" t="s">
        <v>651</v>
      </c>
      <c r="D242" s="7" t="s">
        <v>7</v>
      </c>
      <c r="F242">
        <v>4761158900</v>
      </c>
      <c r="G242" s="1" t="s">
        <v>29</v>
      </c>
      <c r="H242" s="1" t="s">
        <v>1322</v>
      </c>
      <c r="I242" s="1" t="s">
        <v>1087</v>
      </c>
      <c r="J242">
        <v>1774</v>
      </c>
      <c r="K242" s="1" t="str">
        <f>_xlfn.CONCAT(uslugi49[[#This Row],[ozn]:[nr]])</f>
        <v>BIA77575</v>
      </c>
      <c r="L242" s="1">
        <f>IF(VLOOKUP(uslugi49[[#This Row],[NIP]],nip_firm610[],2,FALSE)="BARTEX",1,0)</f>
        <v>0</v>
      </c>
    </row>
    <row r="243" spans="1:12" x14ac:dyDescent="0.25">
      <c r="A243" s="2" t="s">
        <v>652</v>
      </c>
      <c r="B243" s="3" t="s">
        <v>653</v>
      </c>
      <c r="C243" s="3" t="s">
        <v>654</v>
      </c>
      <c r="D243" s="4" t="s">
        <v>7</v>
      </c>
      <c r="F243">
        <v>2394072755</v>
      </c>
      <c r="G243" s="1" t="s">
        <v>1022</v>
      </c>
      <c r="H243" s="1" t="s">
        <v>1323</v>
      </c>
      <c r="I243" s="1" t="s">
        <v>1087</v>
      </c>
      <c r="J243">
        <v>750</v>
      </c>
      <c r="K243" s="1" t="str">
        <f>_xlfn.CONCAT(uslugi49[[#This Row],[ozn]:[nr]])</f>
        <v>SZEU125</v>
      </c>
      <c r="L243" s="1">
        <f>IF(VLOOKUP(uslugi49[[#This Row],[NIP]],nip_firm610[],2,FALSE)="BARTEX",1,0)</f>
        <v>0</v>
      </c>
    </row>
    <row r="244" spans="1:12" x14ac:dyDescent="0.25">
      <c r="A244" s="5" t="s">
        <v>655</v>
      </c>
      <c r="B244" s="6" t="s">
        <v>654</v>
      </c>
      <c r="C244" s="6" t="s">
        <v>654</v>
      </c>
      <c r="D244" s="7" t="s">
        <v>22</v>
      </c>
      <c r="F244">
        <v>1939065269</v>
      </c>
      <c r="G244" s="1" t="s">
        <v>636</v>
      </c>
      <c r="H244" s="1" t="s">
        <v>1324</v>
      </c>
      <c r="I244" s="1" t="s">
        <v>1081</v>
      </c>
      <c r="J244">
        <v>2562</v>
      </c>
      <c r="K244" s="1" t="str">
        <f>_xlfn.CONCAT(uslugi49[[#This Row],[ozn]:[nr]])</f>
        <v>PO16888</v>
      </c>
      <c r="L244" s="1">
        <f>IF(VLOOKUP(uslugi49[[#This Row],[NIP]],nip_firm610[],2,FALSE)="BARTEX",1,0)</f>
        <v>0</v>
      </c>
    </row>
    <row r="245" spans="1:12" x14ac:dyDescent="0.25">
      <c r="A245" s="2" t="s">
        <v>656</v>
      </c>
      <c r="B245" s="3" t="s">
        <v>657</v>
      </c>
      <c r="C245" s="3" t="s">
        <v>658</v>
      </c>
      <c r="D245" s="4" t="s">
        <v>7</v>
      </c>
      <c r="F245">
        <v>3114182744</v>
      </c>
      <c r="G245" s="1" t="s">
        <v>1022</v>
      </c>
      <c r="H245" s="1" t="s">
        <v>1325</v>
      </c>
      <c r="I245" s="1" t="s">
        <v>1081</v>
      </c>
      <c r="J245">
        <v>1959</v>
      </c>
      <c r="K245" s="1" t="str">
        <f>_xlfn.CONCAT(uslugi49[[#This Row],[ozn]:[nr]])</f>
        <v>SZS97VV</v>
      </c>
      <c r="L245" s="1">
        <f>IF(VLOOKUP(uslugi49[[#This Row],[NIP]],nip_firm610[],2,FALSE)="BARTEX",1,0)</f>
        <v>0</v>
      </c>
    </row>
    <row r="246" spans="1:12" x14ac:dyDescent="0.25">
      <c r="A246" s="5" t="s">
        <v>659</v>
      </c>
      <c r="B246" s="6" t="s">
        <v>660</v>
      </c>
      <c r="C246" s="6" t="s">
        <v>661</v>
      </c>
      <c r="D246" s="7" t="s">
        <v>7</v>
      </c>
      <c r="F246">
        <v>4326751508</v>
      </c>
      <c r="G246" s="1" t="s">
        <v>405</v>
      </c>
      <c r="H246" s="1" t="s">
        <v>1326</v>
      </c>
      <c r="I246" s="1" t="s">
        <v>1081</v>
      </c>
      <c r="J246">
        <v>2624</v>
      </c>
      <c r="K246" s="1" t="str">
        <f>_xlfn.CONCAT(uslugi49[[#This Row],[ozn]:[nr]])</f>
        <v>EL62021</v>
      </c>
      <c r="L246" s="1">
        <f>IF(VLOOKUP(uslugi49[[#This Row],[NIP]],nip_firm610[],2,FALSE)="BARTEX",1,0)</f>
        <v>0</v>
      </c>
    </row>
    <row r="247" spans="1:12" x14ac:dyDescent="0.25">
      <c r="A247" s="2" t="s">
        <v>662</v>
      </c>
      <c r="B247" s="3" t="s">
        <v>663</v>
      </c>
      <c r="C247" s="3" t="s">
        <v>664</v>
      </c>
      <c r="D247" s="4" t="s">
        <v>7</v>
      </c>
      <c r="F247">
        <v>4326751508</v>
      </c>
      <c r="G247" s="1" t="s">
        <v>255</v>
      </c>
      <c r="H247" s="1" t="s">
        <v>1327</v>
      </c>
      <c r="I247" s="1" t="s">
        <v>1087</v>
      </c>
      <c r="J247">
        <v>2760</v>
      </c>
      <c r="K247" s="1" t="str">
        <f>_xlfn.CONCAT(uslugi49[[#This Row],[ozn]:[nr]])</f>
        <v>DJE50911</v>
      </c>
      <c r="L247" s="1">
        <f>IF(VLOOKUP(uslugi49[[#This Row],[NIP]],nip_firm610[],2,FALSE)="BARTEX",1,0)</f>
        <v>0</v>
      </c>
    </row>
    <row r="248" spans="1:12" x14ac:dyDescent="0.25">
      <c r="A248" s="5" t="s">
        <v>665</v>
      </c>
      <c r="B248" s="6" t="s">
        <v>666</v>
      </c>
      <c r="C248" s="6" t="s">
        <v>667</v>
      </c>
      <c r="D248" s="7" t="s">
        <v>7</v>
      </c>
      <c r="F248">
        <v>3568004264</v>
      </c>
      <c r="G248" s="1" t="s">
        <v>428</v>
      </c>
      <c r="H248" s="1" t="s">
        <v>1328</v>
      </c>
      <c r="I248" s="1" t="s">
        <v>1081</v>
      </c>
      <c r="J248">
        <v>2404</v>
      </c>
      <c r="K248" s="1" t="str">
        <f>_xlfn.CONCAT(uslugi49[[#This Row],[ozn]:[nr]])</f>
        <v>LUBD622</v>
      </c>
      <c r="L248" s="1">
        <f>IF(VLOOKUP(uslugi49[[#This Row],[NIP]],nip_firm610[],2,FALSE)="BARTEX",1,0)</f>
        <v>0</v>
      </c>
    </row>
    <row r="249" spans="1:12" x14ac:dyDescent="0.25">
      <c r="A249" s="2" t="s">
        <v>668</v>
      </c>
      <c r="B249" s="3" t="s">
        <v>669</v>
      </c>
      <c r="C249" s="3" t="s">
        <v>670</v>
      </c>
      <c r="D249" s="4" t="s">
        <v>7</v>
      </c>
      <c r="F249">
        <v>1278408463</v>
      </c>
      <c r="G249" s="1" t="s">
        <v>314</v>
      </c>
      <c r="H249" s="1" t="s">
        <v>1329</v>
      </c>
      <c r="I249" s="1" t="s">
        <v>1081</v>
      </c>
      <c r="J249">
        <v>2328</v>
      </c>
      <c r="K249" s="1" t="str">
        <f>_xlfn.CONCAT(uslugi49[[#This Row],[ozn]:[nr]])</f>
        <v>PN16780</v>
      </c>
      <c r="L249" s="1">
        <f>IF(VLOOKUP(uslugi49[[#This Row],[NIP]],nip_firm610[],2,FALSE)="BARTEX",1,0)</f>
        <v>0</v>
      </c>
    </row>
    <row r="250" spans="1:12" x14ac:dyDescent="0.25">
      <c r="A250" s="5" t="s">
        <v>671</v>
      </c>
      <c r="B250" s="6" t="s">
        <v>672</v>
      </c>
      <c r="C250" s="6" t="s">
        <v>673</v>
      </c>
      <c r="D250" s="7" t="s">
        <v>7</v>
      </c>
      <c r="F250">
        <v>5185759244</v>
      </c>
      <c r="G250" s="1" t="s">
        <v>1022</v>
      </c>
      <c r="H250" s="1" t="s">
        <v>1330</v>
      </c>
      <c r="I250" s="1" t="s">
        <v>1087</v>
      </c>
      <c r="J250">
        <v>2610</v>
      </c>
      <c r="K250" s="1" t="str">
        <f>_xlfn.CONCAT(uslugi49[[#This Row],[ozn]:[nr]])</f>
        <v>SZY26SL</v>
      </c>
      <c r="L250" s="1">
        <f>IF(VLOOKUP(uslugi49[[#This Row],[NIP]],nip_firm610[],2,FALSE)="BARTEX",1,0)</f>
        <v>0</v>
      </c>
    </row>
    <row r="251" spans="1:12" x14ac:dyDescent="0.25">
      <c r="A251" s="2" t="s">
        <v>674</v>
      </c>
      <c r="B251" s="3" t="s">
        <v>675</v>
      </c>
      <c r="C251" s="3" t="s">
        <v>676</v>
      </c>
      <c r="D251" s="4" t="s">
        <v>7</v>
      </c>
      <c r="F251">
        <v>4761158900</v>
      </c>
      <c r="G251" s="1" t="s">
        <v>29</v>
      </c>
      <c r="H251" s="1" t="s">
        <v>1331</v>
      </c>
      <c r="I251" s="1" t="s">
        <v>1081</v>
      </c>
      <c r="J251">
        <v>2010</v>
      </c>
      <c r="K251" s="1" t="str">
        <f>_xlfn.CONCAT(uslugi49[[#This Row],[ozn]:[nr]])</f>
        <v>BIA75353</v>
      </c>
      <c r="L251" s="1">
        <f>IF(VLOOKUP(uslugi49[[#This Row],[NIP]],nip_firm610[],2,FALSE)="BARTEX",1,0)</f>
        <v>0</v>
      </c>
    </row>
    <row r="252" spans="1:12" x14ac:dyDescent="0.25">
      <c r="A252" s="5" t="s">
        <v>677</v>
      </c>
      <c r="B252" s="6" t="s">
        <v>678</v>
      </c>
      <c r="C252" s="6" t="s">
        <v>679</v>
      </c>
      <c r="D252" s="7" t="s">
        <v>7</v>
      </c>
      <c r="F252">
        <v>4326751508</v>
      </c>
      <c r="G252" s="1" t="s">
        <v>386</v>
      </c>
      <c r="H252" s="1" t="s">
        <v>1332</v>
      </c>
      <c r="I252" s="1" t="s">
        <v>1081</v>
      </c>
      <c r="J252">
        <v>2196</v>
      </c>
      <c r="K252" s="1" t="str">
        <f>_xlfn.CONCAT(uslugi49[[#This Row],[ozn]:[nr]])</f>
        <v>PL68687</v>
      </c>
      <c r="L252" s="1">
        <f>IF(VLOOKUP(uslugi49[[#This Row],[NIP]],nip_firm610[],2,FALSE)="BARTEX",1,0)</f>
        <v>0</v>
      </c>
    </row>
    <row r="253" spans="1:12" x14ac:dyDescent="0.25">
      <c r="A253" s="2" t="s">
        <v>680</v>
      </c>
      <c r="B253" s="3" t="s">
        <v>681</v>
      </c>
      <c r="C253" s="3" t="s">
        <v>681</v>
      </c>
      <c r="D253" s="4" t="s">
        <v>22</v>
      </c>
      <c r="F253">
        <v>6758177505</v>
      </c>
      <c r="G253" s="1" t="s">
        <v>562</v>
      </c>
      <c r="H253" s="1" t="s">
        <v>1333</v>
      </c>
      <c r="I253" s="1" t="s">
        <v>1087</v>
      </c>
      <c r="J253">
        <v>2095</v>
      </c>
      <c r="K253" s="1" t="str">
        <f>_xlfn.CONCAT(uslugi49[[#This Row],[ozn]:[nr]])</f>
        <v>OPO523S</v>
      </c>
      <c r="L253" s="1">
        <f>IF(VLOOKUP(uslugi49[[#This Row],[NIP]],nip_firm610[],2,FALSE)="BARTEX",1,0)</f>
        <v>0</v>
      </c>
    </row>
    <row r="254" spans="1:12" x14ac:dyDescent="0.25">
      <c r="A254" s="5" t="s">
        <v>682</v>
      </c>
      <c r="B254" s="6" t="s">
        <v>683</v>
      </c>
      <c r="C254" s="6" t="s">
        <v>681</v>
      </c>
      <c r="D254" s="7" t="s">
        <v>7</v>
      </c>
      <c r="F254">
        <v>1617995032</v>
      </c>
      <c r="G254" s="1" t="s">
        <v>892</v>
      </c>
      <c r="H254" s="1" t="s">
        <v>1334</v>
      </c>
      <c r="I254" s="1" t="s">
        <v>1081</v>
      </c>
      <c r="J254">
        <v>1899</v>
      </c>
      <c r="K254" s="1" t="str">
        <f>_xlfn.CONCAT(uslugi49[[#This Row],[ozn]:[nr]])</f>
        <v>PTUJ688</v>
      </c>
      <c r="L254" s="1">
        <f>IF(VLOOKUP(uslugi49[[#This Row],[NIP]],nip_firm610[],2,FALSE)="BARTEX",1,0)</f>
        <v>0</v>
      </c>
    </row>
    <row r="255" spans="1:12" x14ac:dyDescent="0.25">
      <c r="A255" s="2" t="s">
        <v>684</v>
      </c>
      <c r="B255" s="3" t="s">
        <v>685</v>
      </c>
      <c r="C255" s="3" t="s">
        <v>686</v>
      </c>
      <c r="D255" s="4" t="s">
        <v>7</v>
      </c>
      <c r="F255">
        <v>1433397952</v>
      </c>
      <c r="G255" s="1" t="s">
        <v>314</v>
      </c>
      <c r="H255" s="1" t="s">
        <v>1335</v>
      </c>
      <c r="I255" s="1" t="s">
        <v>1087</v>
      </c>
      <c r="J255">
        <v>2180</v>
      </c>
      <c r="K255" s="1" t="str">
        <f>_xlfn.CONCAT(uslugi49[[#This Row],[ozn]:[nr]])</f>
        <v>PN3651R</v>
      </c>
      <c r="L255" s="1">
        <f>IF(VLOOKUP(uslugi49[[#This Row],[NIP]],nip_firm610[],2,FALSE)="BARTEX",1,0)</f>
        <v>1</v>
      </c>
    </row>
    <row r="256" spans="1:12" x14ac:dyDescent="0.25">
      <c r="A256" s="5" t="s">
        <v>687</v>
      </c>
      <c r="B256" s="6" t="s">
        <v>688</v>
      </c>
      <c r="C256" s="6" t="s">
        <v>689</v>
      </c>
      <c r="D256" s="7" t="s">
        <v>7</v>
      </c>
      <c r="F256">
        <v>5115061689</v>
      </c>
      <c r="G256" s="1" t="s">
        <v>704</v>
      </c>
      <c r="H256" s="1" t="s">
        <v>1336</v>
      </c>
      <c r="I256" s="1" t="s">
        <v>1087</v>
      </c>
      <c r="J256">
        <v>1864</v>
      </c>
      <c r="K256" s="1" t="str">
        <f>_xlfn.CONCAT(uslugi49[[#This Row],[ozn]:[nr]])</f>
        <v>SRSG664</v>
      </c>
      <c r="L256" s="1">
        <f>IF(VLOOKUP(uslugi49[[#This Row],[NIP]],nip_firm610[],2,FALSE)="BARTEX",1,0)</f>
        <v>0</v>
      </c>
    </row>
    <row r="257" spans="1:12" x14ac:dyDescent="0.25">
      <c r="A257" s="2" t="s">
        <v>690</v>
      </c>
      <c r="B257" s="3" t="s">
        <v>691</v>
      </c>
      <c r="C257" s="3" t="s">
        <v>692</v>
      </c>
      <c r="D257" s="4" t="s">
        <v>7</v>
      </c>
      <c r="F257">
        <v>4761158900</v>
      </c>
      <c r="G257" s="1" t="s">
        <v>29</v>
      </c>
      <c r="H257" s="1" t="s">
        <v>1337</v>
      </c>
      <c r="I257" s="1" t="s">
        <v>1087</v>
      </c>
      <c r="J257">
        <v>2172</v>
      </c>
      <c r="K257" s="1" t="str">
        <f>_xlfn.CONCAT(uslugi49[[#This Row],[ozn]:[nr]])</f>
        <v>BIA84241</v>
      </c>
      <c r="L257" s="1">
        <f>IF(VLOOKUP(uslugi49[[#This Row],[NIP]],nip_firm610[],2,FALSE)="BARTEX",1,0)</f>
        <v>0</v>
      </c>
    </row>
    <row r="258" spans="1:12" x14ac:dyDescent="0.25">
      <c r="A258" s="5" t="s">
        <v>693</v>
      </c>
      <c r="B258" s="6" t="s">
        <v>694</v>
      </c>
      <c r="C258" s="6" t="s">
        <v>695</v>
      </c>
      <c r="D258" s="7" t="s">
        <v>7</v>
      </c>
      <c r="F258">
        <v>4761158900</v>
      </c>
      <c r="G258" s="1" t="s">
        <v>29</v>
      </c>
      <c r="H258" s="1" t="s">
        <v>1338</v>
      </c>
      <c r="I258" s="1" t="s">
        <v>1081</v>
      </c>
      <c r="J258">
        <v>1950</v>
      </c>
      <c r="K258" s="1" t="str">
        <f>_xlfn.CONCAT(uslugi49[[#This Row],[ozn]:[nr]])</f>
        <v>BIA85352</v>
      </c>
      <c r="L258" s="1">
        <f>IF(VLOOKUP(uslugi49[[#This Row],[NIP]],nip_firm610[],2,FALSE)="BARTEX",1,0)</f>
        <v>0</v>
      </c>
    </row>
    <row r="259" spans="1:12" x14ac:dyDescent="0.25">
      <c r="A259" s="2" t="s">
        <v>696</v>
      </c>
      <c r="B259" s="3" t="s">
        <v>697</v>
      </c>
      <c r="C259" s="3" t="s">
        <v>698</v>
      </c>
      <c r="D259" s="4" t="s">
        <v>7</v>
      </c>
      <c r="F259">
        <v>2119268767</v>
      </c>
      <c r="G259" s="1" t="s">
        <v>141</v>
      </c>
      <c r="H259" s="1" t="s">
        <v>1339</v>
      </c>
      <c r="I259" s="1" t="s">
        <v>1087</v>
      </c>
      <c r="J259">
        <v>2115</v>
      </c>
      <c r="K259" s="1" t="str">
        <f>_xlfn.CONCAT(uslugi49[[#This Row],[ozn]:[nr]])</f>
        <v>NEBV602</v>
      </c>
      <c r="L259" s="1">
        <f>IF(VLOOKUP(uslugi49[[#This Row],[NIP]],nip_firm610[],2,FALSE)="BARTEX",1,0)</f>
        <v>0</v>
      </c>
    </row>
    <row r="260" spans="1:12" x14ac:dyDescent="0.25">
      <c r="A260" s="5" t="s">
        <v>699</v>
      </c>
      <c r="B260" s="6" t="s">
        <v>700</v>
      </c>
      <c r="C260" s="6" t="s">
        <v>701</v>
      </c>
      <c r="D260" s="7" t="s">
        <v>7</v>
      </c>
      <c r="F260">
        <v>3866883575</v>
      </c>
      <c r="G260" s="1" t="s">
        <v>434</v>
      </c>
      <c r="H260" s="1" t="s">
        <v>1340</v>
      </c>
      <c r="I260" s="1" t="s">
        <v>1087</v>
      </c>
      <c r="J260">
        <v>2457</v>
      </c>
      <c r="K260" s="1" t="str">
        <f>_xlfn.CONCAT(uslugi49[[#This Row],[ozn]:[nr]])</f>
        <v>LU16790</v>
      </c>
      <c r="L260" s="1">
        <f>IF(VLOOKUP(uslugi49[[#This Row],[NIP]],nip_firm610[],2,FALSE)="BARTEX",1,0)</f>
        <v>0</v>
      </c>
    </row>
    <row r="261" spans="1:12" x14ac:dyDescent="0.25">
      <c r="A261" s="2" t="s">
        <v>702</v>
      </c>
      <c r="B261" s="3" t="s">
        <v>703</v>
      </c>
      <c r="C261" s="3" t="s">
        <v>703</v>
      </c>
      <c r="D261" s="4" t="s">
        <v>22</v>
      </c>
      <c r="F261">
        <v>2394072755</v>
      </c>
      <c r="G261" s="1" t="s">
        <v>1022</v>
      </c>
      <c r="H261" s="1" t="s">
        <v>1341</v>
      </c>
      <c r="I261" s="1" t="s">
        <v>1087</v>
      </c>
      <c r="J261">
        <v>2792</v>
      </c>
      <c r="K261" s="1" t="str">
        <f>_xlfn.CONCAT(uslugi49[[#This Row],[ozn]:[nr]])</f>
        <v>SZET124</v>
      </c>
      <c r="L261" s="1">
        <f>IF(VLOOKUP(uslugi49[[#This Row],[NIP]],nip_firm610[],2,FALSE)="BARTEX",1,0)</f>
        <v>0</v>
      </c>
    </row>
    <row r="262" spans="1:12" x14ac:dyDescent="0.25">
      <c r="A262" s="5" t="s">
        <v>704</v>
      </c>
      <c r="B262" s="6" t="s">
        <v>703</v>
      </c>
      <c r="C262" s="6" t="s">
        <v>703</v>
      </c>
      <c r="D262" s="7" t="s">
        <v>22</v>
      </c>
      <c r="F262">
        <v>6758177505</v>
      </c>
      <c r="G262" s="1" t="s">
        <v>562</v>
      </c>
      <c r="H262" s="1" t="s">
        <v>1342</v>
      </c>
      <c r="I262" s="1" t="s">
        <v>1087</v>
      </c>
      <c r="J262">
        <v>2915</v>
      </c>
      <c r="K262" s="1" t="str">
        <f>_xlfn.CONCAT(uslugi49[[#This Row],[ozn]:[nr]])</f>
        <v>OPO567K</v>
      </c>
      <c r="L262" s="1">
        <f>IF(VLOOKUP(uslugi49[[#This Row],[NIP]],nip_firm610[],2,FALSE)="BARTEX",1,0)</f>
        <v>0</v>
      </c>
    </row>
    <row r="263" spans="1:12" x14ac:dyDescent="0.25">
      <c r="A263" s="2" t="s">
        <v>705</v>
      </c>
      <c r="B263" s="3" t="s">
        <v>706</v>
      </c>
      <c r="C263" s="3" t="s">
        <v>707</v>
      </c>
      <c r="D263" s="4" t="s">
        <v>7</v>
      </c>
      <c r="F263">
        <v>4326751508</v>
      </c>
      <c r="G263" s="1" t="s">
        <v>386</v>
      </c>
      <c r="H263" s="1" t="s">
        <v>1343</v>
      </c>
      <c r="I263" s="1" t="s">
        <v>1081</v>
      </c>
      <c r="J263">
        <v>1515</v>
      </c>
      <c r="K263" s="1" t="str">
        <f>_xlfn.CONCAT(uslugi49[[#This Row],[ozn]:[nr]])</f>
        <v>PL63132</v>
      </c>
      <c r="L263" s="1">
        <f>IF(VLOOKUP(uslugi49[[#This Row],[NIP]],nip_firm610[],2,FALSE)="BARTEX",1,0)</f>
        <v>0</v>
      </c>
    </row>
    <row r="264" spans="1:12" x14ac:dyDescent="0.25">
      <c r="A264" s="5" t="s">
        <v>708</v>
      </c>
      <c r="B264" s="6" t="s">
        <v>707</v>
      </c>
      <c r="C264" s="6" t="s">
        <v>707</v>
      </c>
      <c r="D264" s="7" t="s">
        <v>22</v>
      </c>
      <c r="F264">
        <v>2394072755</v>
      </c>
      <c r="G264" s="1" t="s">
        <v>1022</v>
      </c>
      <c r="H264" s="1" t="s">
        <v>1344</v>
      </c>
      <c r="I264" s="1" t="s">
        <v>1087</v>
      </c>
      <c r="J264">
        <v>2330</v>
      </c>
      <c r="K264" s="1" t="str">
        <f>_xlfn.CONCAT(uslugi49[[#This Row],[ozn]:[nr]])</f>
        <v>SZEU126</v>
      </c>
      <c r="L264" s="1">
        <f>IF(VLOOKUP(uslugi49[[#This Row],[NIP]],nip_firm610[],2,FALSE)="BARTEX",1,0)</f>
        <v>0</v>
      </c>
    </row>
    <row r="265" spans="1:12" x14ac:dyDescent="0.25">
      <c r="A265" s="2" t="s">
        <v>709</v>
      </c>
      <c r="B265" s="3" t="s">
        <v>710</v>
      </c>
      <c r="C265" s="3" t="s">
        <v>711</v>
      </c>
      <c r="D265" s="4" t="s">
        <v>7</v>
      </c>
      <c r="F265">
        <v>4326751508</v>
      </c>
      <c r="G265" s="1" t="s">
        <v>386</v>
      </c>
      <c r="H265" s="1" t="s">
        <v>1345</v>
      </c>
      <c r="I265" s="1" t="s">
        <v>1081</v>
      </c>
      <c r="J265">
        <v>2245</v>
      </c>
      <c r="K265" s="1" t="str">
        <f>_xlfn.CONCAT(uslugi49[[#This Row],[ozn]:[nr]])</f>
        <v>PL66465</v>
      </c>
      <c r="L265" s="1">
        <f>IF(VLOOKUP(uslugi49[[#This Row],[NIP]],nip_firm610[],2,FALSE)="BARTEX",1,0)</f>
        <v>0</v>
      </c>
    </row>
    <row r="266" spans="1:12" x14ac:dyDescent="0.25">
      <c r="A266" s="5" t="s">
        <v>712</v>
      </c>
      <c r="B266" s="6" t="s">
        <v>713</v>
      </c>
      <c r="C266" s="6" t="s">
        <v>714</v>
      </c>
      <c r="D266" s="7" t="s">
        <v>7</v>
      </c>
      <c r="F266">
        <v>5341884086</v>
      </c>
      <c r="G266" s="1" t="s">
        <v>1022</v>
      </c>
      <c r="H266" s="1" t="s">
        <v>1346</v>
      </c>
      <c r="I266" s="1" t="s">
        <v>1081</v>
      </c>
      <c r="J266">
        <v>2880</v>
      </c>
      <c r="K266" s="1" t="str">
        <f>_xlfn.CONCAT(uslugi49[[#This Row],[ozn]:[nr]])</f>
        <v>SZS45UV</v>
      </c>
      <c r="L266" s="1">
        <f>IF(VLOOKUP(uslugi49[[#This Row],[NIP]],nip_firm610[],2,FALSE)="BARTEX",1,0)</f>
        <v>0</v>
      </c>
    </row>
    <row r="267" spans="1:12" x14ac:dyDescent="0.25">
      <c r="A267" s="2" t="s">
        <v>715</v>
      </c>
      <c r="B267" s="3" t="s">
        <v>716</v>
      </c>
      <c r="C267" s="3" t="s">
        <v>716</v>
      </c>
      <c r="D267" s="4" t="s">
        <v>22</v>
      </c>
      <c r="F267">
        <v>1581329071</v>
      </c>
      <c r="G267" s="1" t="s">
        <v>1022</v>
      </c>
      <c r="H267" s="1" t="s">
        <v>1347</v>
      </c>
      <c r="I267" s="1" t="s">
        <v>1081</v>
      </c>
      <c r="J267">
        <v>2270</v>
      </c>
      <c r="K267" s="1" t="str">
        <f>_xlfn.CONCAT(uslugi49[[#This Row],[ozn]:[nr]])</f>
        <v>SZE94CB</v>
      </c>
      <c r="L267" s="1">
        <f>IF(VLOOKUP(uslugi49[[#This Row],[NIP]],nip_firm610[],2,FALSE)="BARTEX",1,0)</f>
        <v>0</v>
      </c>
    </row>
    <row r="268" spans="1:12" x14ac:dyDescent="0.25">
      <c r="A268" s="5" t="s">
        <v>717</v>
      </c>
      <c r="B268" s="6" t="s">
        <v>718</v>
      </c>
      <c r="C268" s="6" t="s">
        <v>716</v>
      </c>
      <c r="D268" s="7" t="s">
        <v>7</v>
      </c>
      <c r="F268">
        <v>5341884086</v>
      </c>
      <c r="G268" s="1" t="s">
        <v>1022</v>
      </c>
      <c r="H268" s="1" t="s">
        <v>1348</v>
      </c>
      <c r="I268" s="1" t="s">
        <v>1081</v>
      </c>
      <c r="J268">
        <v>2748</v>
      </c>
      <c r="K268" s="1" t="str">
        <f>_xlfn.CONCAT(uslugi49[[#This Row],[ozn]:[nr]])</f>
        <v>SZSD137</v>
      </c>
      <c r="L268" s="1">
        <f>IF(VLOOKUP(uslugi49[[#This Row],[NIP]],nip_firm610[],2,FALSE)="BARTEX",1,0)</f>
        <v>0</v>
      </c>
    </row>
    <row r="269" spans="1:12" x14ac:dyDescent="0.25">
      <c r="A269" s="2" t="s">
        <v>719</v>
      </c>
      <c r="B269" s="3" t="s">
        <v>720</v>
      </c>
      <c r="C269" s="3" t="s">
        <v>721</v>
      </c>
      <c r="D269" s="4" t="s">
        <v>7</v>
      </c>
      <c r="F269">
        <v>4241680809</v>
      </c>
      <c r="G269" s="1" t="s">
        <v>1022</v>
      </c>
      <c r="H269" s="1" t="s">
        <v>1349</v>
      </c>
      <c r="I269" s="1" t="s">
        <v>1087</v>
      </c>
      <c r="J269">
        <v>1995</v>
      </c>
      <c r="K269" s="1" t="str">
        <f>_xlfn.CONCAT(uslugi49[[#This Row],[ozn]:[nr]])</f>
        <v>SZR80LN</v>
      </c>
      <c r="L269" s="1">
        <f>IF(VLOOKUP(uslugi49[[#This Row],[NIP]],nip_firm610[],2,FALSE)="BARTEX",1,0)</f>
        <v>0</v>
      </c>
    </row>
    <row r="270" spans="1:12" x14ac:dyDescent="0.25">
      <c r="A270" s="5" t="s">
        <v>722</v>
      </c>
      <c r="B270" s="6" t="s">
        <v>723</v>
      </c>
      <c r="C270" s="6" t="s">
        <v>724</v>
      </c>
      <c r="D270" s="7" t="s">
        <v>7</v>
      </c>
      <c r="F270">
        <v>5229945534</v>
      </c>
      <c r="G270" s="1" t="s">
        <v>1022</v>
      </c>
      <c r="H270" s="1" t="s">
        <v>1350</v>
      </c>
      <c r="I270" s="1" t="s">
        <v>1081</v>
      </c>
      <c r="J270">
        <v>3276</v>
      </c>
      <c r="K270" s="1" t="str">
        <f>_xlfn.CONCAT(uslugi49[[#This Row],[ozn]:[nr]])</f>
        <v>SZG36RH</v>
      </c>
      <c r="L270" s="1">
        <f>IF(VLOOKUP(uslugi49[[#This Row],[NIP]],nip_firm610[],2,FALSE)="BARTEX",1,0)</f>
        <v>0</v>
      </c>
    </row>
    <row r="271" spans="1:12" x14ac:dyDescent="0.25">
      <c r="A271" s="2" t="s">
        <v>725</v>
      </c>
      <c r="B271" s="3" t="s">
        <v>726</v>
      </c>
      <c r="C271" s="3" t="s">
        <v>727</v>
      </c>
      <c r="D271" s="4" t="s">
        <v>7</v>
      </c>
      <c r="F271">
        <v>2281651150</v>
      </c>
      <c r="G271" s="1" t="s">
        <v>552</v>
      </c>
      <c r="H271" s="1" t="s">
        <v>1351</v>
      </c>
      <c r="I271" s="1" t="s">
        <v>1081</v>
      </c>
      <c r="J271">
        <v>1622</v>
      </c>
      <c r="K271" s="1" t="str">
        <f>_xlfn.CONCAT(uslugi49[[#This Row],[ozn]:[nr]])</f>
        <v>NOL99KC</v>
      </c>
      <c r="L271" s="1">
        <f>IF(VLOOKUP(uslugi49[[#This Row],[NIP]],nip_firm610[],2,FALSE)="BARTEX",1,0)</f>
        <v>0</v>
      </c>
    </row>
    <row r="272" spans="1:12" x14ac:dyDescent="0.25">
      <c r="A272" s="5" t="s">
        <v>728</v>
      </c>
      <c r="B272" s="6" t="s">
        <v>729</v>
      </c>
      <c r="C272" s="6" t="s">
        <v>730</v>
      </c>
      <c r="D272" s="7" t="s">
        <v>7</v>
      </c>
      <c r="F272">
        <v>6727559092</v>
      </c>
      <c r="G272" s="1" t="s">
        <v>562</v>
      </c>
      <c r="H272" s="1" t="s">
        <v>1352</v>
      </c>
      <c r="I272" s="1" t="s">
        <v>1087</v>
      </c>
      <c r="J272">
        <v>2208</v>
      </c>
      <c r="K272" s="1" t="str">
        <f>_xlfn.CONCAT(uslugi49[[#This Row],[ozn]:[nr]])</f>
        <v>OPO378G</v>
      </c>
      <c r="L272" s="1">
        <f>IF(VLOOKUP(uslugi49[[#This Row],[NIP]],nip_firm610[],2,FALSE)="BARTEX",1,0)</f>
        <v>0</v>
      </c>
    </row>
    <row r="273" spans="1:12" x14ac:dyDescent="0.25">
      <c r="A273" s="2" t="s">
        <v>731</v>
      </c>
      <c r="B273" s="3" t="s">
        <v>732</v>
      </c>
      <c r="C273" s="3" t="s">
        <v>732</v>
      </c>
      <c r="D273" s="4" t="s">
        <v>22</v>
      </c>
      <c r="F273">
        <v>3678947206</v>
      </c>
      <c r="G273" s="1" t="s">
        <v>527</v>
      </c>
      <c r="H273" s="1" t="s">
        <v>1353</v>
      </c>
      <c r="I273" s="1" t="s">
        <v>1081</v>
      </c>
      <c r="J273">
        <v>2065</v>
      </c>
      <c r="K273" s="1" t="str">
        <f>_xlfn.CONCAT(uslugi49[[#This Row],[ozn]:[nr]])</f>
        <v>ONY1278</v>
      </c>
      <c r="L273" s="1">
        <f>IF(VLOOKUP(uslugi49[[#This Row],[NIP]],nip_firm610[],2,FALSE)="BARTEX",1,0)</f>
        <v>0</v>
      </c>
    </row>
    <row r="274" spans="1:12" x14ac:dyDescent="0.25">
      <c r="A274" s="5" t="s">
        <v>733</v>
      </c>
      <c r="B274" s="6" t="s">
        <v>734</v>
      </c>
      <c r="C274" s="6" t="s">
        <v>732</v>
      </c>
      <c r="D274" s="7" t="s">
        <v>7</v>
      </c>
      <c r="F274">
        <v>2119268767</v>
      </c>
      <c r="G274" s="1" t="s">
        <v>141</v>
      </c>
      <c r="H274" s="1" t="s">
        <v>1354</v>
      </c>
      <c r="I274" s="1" t="s">
        <v>1087</v>
      </c>
      <c r="J274">
        <v>1772</v>
      </c>
      <c r="K274" s="1" t="str">
        <f>_xlfn.CONCAT(uslugi49[[#This Row],[ozn]:[nr]])</f>
        <v>NEBT600</v>
      </c>
      <c r="L274" s="1">
        <f>IF(VLOOKUP(uslugi49[[#This Row],[NIP]],nip_firm610[],2,FALSE)="BARTEX",1,0)</f>
        <v>0</v>
      </c>
    </row>
    <row r="275" spans="1:12" x14ac:dyDescent="0.25">
      <c r="A275" s="2" t="s">
        <v>735</v>
      </c>
      <c r="B275" s="3" t="s">
        <v>736</v>
      </c>
      <c r="C275" s="3" t="s">
        <v>736</v>
      </c>
      <c r="D275" s="4" t="s">
        <v>22</v>
      </c>
      <c r="F275">
        <v>3568004264</v>
      </c>
      <c r="G275" s="1" t="s">
        <v>428</v>
      </c>
      <c r="H275" s="1" t="s">
        <v>1355</v>
      </c>
      <c r="I275" s="1" t="s">
        <v>1087</v>
      </c>
      <c r="J275">
        <v>2175</v>
      </c>
      <c r="K275" s="1" t="str">
        <f>_xlfn.CONCAT(uslugi49[[#This Row],[ozn]:[nr]])</f>
        <v>LUB63AR</v>
      </c>
      <c r="L275" s="1">
        <f>IF(VLOOKUP(uslugi49[[#This Row],[NIP]],nip_firm610[],2,FALSE)="BARTEX",1,0)</f>
        <v>0</v>
      </c>
    </row>
    <row r="276" spans="1:12" x14ac:dyDescent="0.25">
      <c r="A276" s="5" t="s">
        <v>737</v>
      </c>
      <c r="B276" s="6" t="s">
        <v>738</v>
      </c>
      <c r="C276" s="6" t="s">
        <v>739</v>
      </c>
      <c r="D276" s="7" t="s">
        <v>7</v>
      </c>
      <c r="F276">
        <v>4326751508</v>
      </c>
      <c r="G276" s="1" t="s">
        <v>255</v>
      </c>
      <c r="H276" s="1" t="s">
        <v>1356</v>
      </c>
      <c r="I276" s="1" t="s">
        <v>1087</v>
      </c>
      <c r="J276">
        <v>2958</v>
      </c>
      <c r="K276" s="1" t="str">
        <f>_xlfn.CONCAT(uslugi49[[#This Row],[ozn]:[nr]])</f>
        <v>DJE53133</v>
      </c>
      <c r="L276" s="1">
        <f>IF(VLOOKUP(uslugi49[[#This Row],[NIP]],nip_firm610[],2,FALSE)="BARTEX",1,0)</f>
        <v>0</v>
      </c>
    </row>
    <row r="277" spans="1:12" x14ac:dyDescent="0.25">
      <c r="A277" s="2" t="s">
        <v>740</v>
      </c>
      <c r="B277" s="3" t="s">
        <v>741</v>
      </c>
      <c r="C277" s="3" t="s">
        <v>742</v>
      </c>
      <c r="D277" s="4" t="s">
        <v>7</v>
      </c>
      <c r="F277">
        <v>4796841112</v>
      </c>
      <c r="G277" s="1" t="s">
        <v>533</v>
      </c>
      <c r="H277" s="1" t="s">
        <v>1357</v>
      </c>
      <c r="I277" s="1" t="s">
        <v>1081</v>
      </c>
      <c r="J277">
        <v>2792</v>
      </c>
      <c r="K277" s="1" t="str">
        <f>_xlfn.CONCAT(uslugi49[[#This Row],[ozn]:[nr]])</f>
        <v>DOAI680</v>
      </c>
      <c r="L277" s="1">
        <f>IF(VLOOKUP(uslugi49[[#This Row],[NIP]],nip_firm610[],2,FALSE)="BARTEX",1,0)</f>
        <v>0</v>
      </c>
    </row>
    <row r="278" spans="1:12" x14ac:dyDescent="0.25">
      <c r="A278" s="5" t="s">
        <v>743</v>
      </c>
      <c r="B278" s="6" t="s">
        <v>744</v>
      </c>
      <c r="C278" s="6" t="s">
        <v>745</v>
      </c>
      <c r="D278" s="7" t="s">
        <v>7</v>
      </c>
      <c r="F278">
        <v>2138598159</v>
      </c>
      <c r="G278" s="1" t="s">
        <v>143</v>
      </c>
      <c r="H278" s="1" t="s">
        <v>1358</v>
      </c>
      <c r="I278" s="1" t="s">
        <v>1081</v>
      </c>
      <c r="J278">
        <v>2049</v>
      </c>
      <c r="K278" s="1" t="str">
        <f>_xlfn.CONCAT(uslugi49[[#This Row],[ozn]:[nr]])</f>
        <v>NELM590</v>
      </c>
      <c r="L278" s="1">
        <f>IF(VLOOKUP(uslugi49[[#This Row],[NIP]],nip_firm610[],2,FALSE)="BARTEX",1,0)</f>
        <v>0</v>
      </c>
    </row>
    <row r="279" spans="1:12" x14ac:dyDescent="0.25">
      <c r="A279" s="2" t="s">
        <v>746</v>
      </c>
      <c r="B279" s="3" t="s">
        <v>747</v>
      </c>
      <c r="C279" s="3" t="s">
        <v>748</v>
      </c>
      <c r="D279" s="4" t="s">
        <v>7</v>
      </c>
      <c r="F279">
        <v>1617995032</v>
      </c>
      <c r="G279" s="1" t="s">
        <v>892</v>
      </c>
      <c r="H279" s="1" t="s">
        <v>1359</v>
      </c>
      <c r="I279" s="1" t="s">
        <v>1087</v>
      </c>
      <c r="J279">
        <v>1946</v>
      </c>
      <c r="K279" s="1" t="str">
        <f>_xlfn.CONCAT(uslugi49[[#This Row],[ozn]:[nr]])</f>
        <v>PTU5F12</v>
      </c>
      <c r="L279" s="1">
        <f>IF(VLOOKUP(uslugi49[[#This Row],[NIP]],nip_firm610[],2,FALSE)="BARTEX",1,0)</f>
        <v>0</v>
      </c>
    </row>
    <row r="280" spans="1:12" x14ac:dyDescent="0.25">
      <c r="A280" s="5" t="s">
        <v>749</v>
      </c>
      <c r="B280" s="6" t="s">
        <v>750</v>
      </c>
      <c r="C280" s="6" t="s">
        <v>750</v>
      </c>
      <c r="D280" s="7" t="s">
        <v>22</v>
      </c>
      <c r="F280">
        <v>1278408463</v>
      </c>
      <c r="G280" s="1" t="s">
        <v>312</v>
      </c>
      <c r="H280" s="1" t="s">
        <v>1360</v>
      </c>
      <c r="I280" s="1" t="s">
        <v>1081</v>
      </c>
      <c r="J280">
        <v>2722</v>
      </c>
      <c r="K280" s="1" t="str">
        <f>_xlfn.CONCAT(uslugi49[[#This Row],[ozn]:[nr]])</f>
        <v>PKOF572</v>
      </c>
      <c r="L280" s="1">
        <f>IF(VLOOKUP(uslugi49[[#This Row],[NIP]],nip_firm610[],2,FALSE)="BARTEX",1,0)</f>
        <v>0</v>
      </c>
    </row>
    <row r="281" spans="1:12" x14ac:dyDescent="0.25">
      <c r="A281" s="2" t="s">
        <v>751</v>
      </c>
      <c r="B281" s="3" t="s">
        <v>752</v>
      </c>
      <c r="C281" s="3" t="s">
        <v>750</v>
      </c>
      <c r="D281" s="4" t="s">
        <v>7</v>
      </c>
      <c r="F281">
        <v>3345883725</v>
      </c>
      <c r="G281" s="1" t="s">
        <v>428</v>
      </c>
      <c r="H281" s="1" t="s">
        <v>1361</v>
      </c>
      <c r="I281" s="1" t="s">
        <v>1087</v>
      </c>
      <c r="J281">
        <v>2344</v>
      </c>
      <c r="K281" s="1" t="str">
        <f>_xlfn.CONCAT(uslugi49[[#This Row],[ozn]:[nr]])</f>
        <v>LUBJ742</v>
      </c>
      <c r="L281" s="1">
        <f>IF(VLOOKUP(uslugi49[[#This Row],[NIP]],nip_firm610[],2,FALSE)="BARTEX",1,0)</f>
        <v>0</v>
      </c>
    </row>
    <row r="282" spans="1:12" x14ac:dyDescent="0.25">
      <c r="A282" s="5" t="s">
        <v>753</v>
      </c>
      <c r="B282" s="6" t="s">
        <v>754</v>
      </c>
      <c r="C282" s="6" t="s">
        <v>755</v>
      </c>
      <c r="D282" s="7" t="s">
        <v>7</v>
      </c>
      <c r="F282">
        <v>5528435390</v>
      </c>
      <c r="G282" s="1" t="s">
        <v>1022</v>
      </c>
      <c r="H282" s="1" t="s">
        <v>1362</v>
      </c>
      <c r="I282" s="1" t="s">
        <v>1087</v>
      </c>
      <c r="J282">
        <v>2465</v>
      </c>
      <c r="K282" s="1" t="str">
        <f>_xlfn.CONCAT(uslugi49[[#This Row],[ozn]:[nr]])</f>
        <v>SZA42FY</v>
      </c>
      <c r="L282" s="1">
        <f>IF(VLOOKUP(uslugi49[[#This Row],[NIP]],nip_firm610[],2,FALSE)="BARTEX",1,0)</f>
        <v>0</v>
      </c>
    </row>
    <row r="283" spans="1:12" x14ac:dyDescent="0.25">
      <c r="A283" s="2" t="s">
        <v>756</v>
      </c>
      <c r="B283" s="3" t="s">
        <v>757</v>
      </c>
      <c r="C283" s="3" t="s">
        <v>758</v>
      </c>
      <c r="D283" s="4" t="s">
        <v>7</v>
      </c>
      <c r="F283">
        <v>3783578981</v>
      </c>
      <c r="G283" s="1" t="s">
        <v>386</v>
      </c>
      <c r="H283" s="1" t="s">
        <v>1363</v>
      </c>
      <c r="I283" s="1" t="s">
        <v>1087</v>
      </c>
      <c r="J283">
        <v>2174</v>
      </c>
      <c r="K283" s="1" t="str">
        <f>_xlfn.CONCAT(uslugi49[[#This Row],[ozn]:[nr]])</f>
        <v>PL27910</v>
      </c>
      <c r="L283" s="1">
        <f>IF(VLOOKUP(uslugi49[[#This Row],[NIP]],nip_firm610[],2,FALSE)="BARTEX",1,0)</f>
        <v>0</v>
      </c>
    </row>
    <row r="284" spans="1:12" x14ac:dyDescent="0.25">
      <c r="A284" s="5" t="s">
        <v>759</v>
      </c>
      <c r="B284" s="6" t="s">
        <v>760</v>
      </c>
      <c r="C284" s="6" t="s">
        <v>761</v>
      </c>
      <c r="D284" s="7" t="s">
        <v>7</v>
      </c>
      <c r="F284">
        <v>4761158900</v>
      </c>
      <c r="G284" s="1" t="s">
        <v>29</v>
      </c>
      <c r="H284" s="1" t="s">
        <v>1364</v>
      </c>
      <c r="I284" s="1" t="s">
        <v>1081</v>
      </c>
      <c r="J284">
        <v>1812</v>
      </c>
      <c r="K284" s="1" t="str">
        <f>_xlfn.CONCAT(uslugi49[[#This Row],[ozn]:[nr]])</f>
        <v>BIA79797</v>
      </c>
      <c r="L284" s="1">
        <f>IF(VLOOKUP(uslugi49[[#This Row],[NIP]],nip_firm610[],2,FALSE)="BARTEX",1,0)</f>
        <v>0</v>
      </c>
    </row>
    <row r="285" spans="1:12" x14ac:dyDescent="0.25">
      <c r="A285" s="2" t="s">
        <v>762</v>
      </c>
      <c r="B285" s="3" t="s">
        <v>763</v>
      </c>
      <c r="C285" s="3" t="s">
        <v>763</v>
      </c>
      <c r="D285" s="4" t="s">
        <v>22</v>
      </c>
      <c r="F285">
        <v>4715154852</v>
      </c>
      <c r="G285" s="1" t="s">
        <v>1003</v>
      </c>
      <c r="H285" s="1" t="s">
        <v>1365</v>
      </c>
      <c r="I285" s="1" t="s">
        <v>1081</v>
      </c>
      <c r="J285">
        <v>2800</v>
      </c>
      <c r="K285" s="1" t="str">
        <f>_xlfn.CONCAT(uslugi49[[#This Row],[ozn]:[nr]])</f>
        <v>DW601H</v>
      </c>
      <c r="L285" s="1">
        <f>IF(VLOOKUP(uslugi49[[#This Row],[NIP]],nip_firm610[],2,FALSE)="BARTEX",1,0)</f>
        <v>0</v>
      </c>
    </row>
    <row r="286" spans="1:12" x14ac:dyDescent="0.25">
      <c r="A286" s="5" t="s">
        <v>764</v>
      </c>
      <c r="B286" s="6" t="s">
        <v>765</v>
      </c>
      <c r="C286" s="6" t="s">
        <v>763</v>
      </c>
      <c r="D286" s="7" t="s">
        <v>7</v>
      </c>
      <c r="F286">
        <v>2581219876</v>
      </c>
      <c r="G286" s="1" t="s">
        <v>141</v>
      </c>
      <c r="H286" s="1" t="s">
        <v>1366</v>
      </c>
      <c r="I286" s="1" t="s">
        <v>1087</v>
      </c>
      <c r="J286">
        <v>2478</v>
      </c>
      <c r="K286" s="1" t="str">
        <f>_xlfn.CONCAT(uslugi49[[#This Row],[ozn]:[nr]])</f>
        <v>NEBU728</v>
      </c>
      <c r="L286" s="1">
        <f>IF(VLOOKUP(uslugi49[[#This Row],[NIP]],nip_firm610[],2,FALSE)="BARTEX",1,0)</f>
        <v>0</v>
      </c>
    </row>
    <row r="287" spans="1:12" x14ac:dyDescent="0.25">
      <c r="A287" s="2" t="s">
        <v>766</v>
      </c>
      <c r="B287" s="3" t="s">
        <v>767</v>
      </c>
      <c r="C287" s="3" t="s">
        <v>768</v>
      </c>
      <c r="D287" s="4" t="s">
        <v>7</v>
      </c>
      <c r="F287">
        <v>2245871126</v>
      </c>
      <c r="G287" s="1" t="s">
        <v>73</v>
      </c>
      <c r="H287" s="1" t="s">
        <v>1367</v>
      </c>
      <c r="I287" s="1" t="s">
        <v>1081</v>
      </c>
      <c r="J287">
        <v>2562</v>
      </c>
      <c r="K287" s="1" t="str">
        <f>_xlfn.CONCAT(uslugi49[[#This Row],[ozn]:[nr]])</f>
        <v>TBU23870</v>
      </c>
      <c r="L287" s="1">
        <f>IF(VLOOKUP(uslugi49[[#This Row],[NIP]],nip_firm610[],2,FALSE)="BARTEX",1,0)</f>
        <v>0</v>
      </c>
    </row>
    <row r="288" spans="1:12" x14ac:dyDescent="0.25">
      <c r="A288" s="5" t="s">
        <v>769</v>
      </c>
      <c r="B288" s="6" t="s">
        <v>770</v>
      </c>
      <c r="C288" s="6" t="s">
        <v>771</v>
      </c>
      <c r="D288" s="7" t="s">
        <v>7</v>
      </c>
      <c r="F288">
        <v>6727559092</v>
      </c>
      <c r="G288" s="1" t="s">
        <v>562</v>
      </c>
      <c r="H288" s="1" t="s">
        <v>1368</v>
      </c>
      <c r="I288" s="1" t="s">
        <v>1087</v>
      </c>
      <c r="J288">
        <v>980</v>
      </c>
      <c r="K288" s="1" t="str">
        <f>_xlfn.CONCAT(uslugi49[[#This Row],[ozn]:[nr]])</f>
        <v>OPO268H</v>
      </c>
      <c r="L288" s="1">
        <f>IF(VLOOKUP(uslugi49[[#This Row],[NIP]],nip_firm610[],2,FALSE)="BARTEX",1,0)</f>
        <v>0</v>
      </c>
    </row>
    <row r="289" spans="1:12" x14ac:dyDescent="0.25">
      <c r="A289" s="2" t="s">
        <v>772</v>
      </c>
      <c r="B289" s="3" t="s">
        <v>773</v>
      </c>
      <c r="C289" s="3" t="s">
        <v>774</v>
      </c>
      <c r="D289" s="4" t="s">
        <v>7</v>
      </c>
      <c r="F289">
        <v>1361555378</v>
      </c>
      <c r="G289" s="1" t="s">
        <v>1022</v>
      </c>
      <c r="H289" s="1" t="s">
        <v>1369</v>
      </c>
      <c r="I289" s="1" t="s">
        <v>1087</v>
      </c>
      <c r="J289">
        <v>2325</v>
      </c>
      <c r="K289" s="1" t="str">
        <f>_xlfn.CONCAT(uslugi49[[#This Row],[ozn]:[nr]])</f>
        <v>SZWB235</v>
      </c>
      <c r="L289" s="1">
        <f>IF(VLOOKUP(uslugi49[[#This Row],[NIP]],nip_firm610[],2,FALSE)="BARTEX",1,0)</f>
        <v>0</v>
      </c>
    </row>
    <row r="290" spans="1:12" x14ac:dyDescent="0.25">
      <c r="A290" s="5" t="s">
        <v>775</v>
      </c>
      <c r="B290" s="6" t="s">
        <v>776</v>
      </c>
      <c r="C290" s="6" t="s">
        <v>776</v>
      </c>
      <c r="D290" s="7" t="s">
        <v>22</v>
      </c>
      <c r="F290">
        <v>5418968184</v>
      </c>
      <c r="G290" s="1" t="s">
        <v>1022</v>
      </c>
      <c r="H290" s="1" t="s">
        <v>1370</v>
      </c>
      <c r="I290" s="1" t="s">
        <v>1087</v>
      </c>
      <c r="J290">
        <v>1830</v>
      </c>
      <c r="K290" s="1" t="str">
        <f>_xlfn.CONCAT(uslugi49[[#This Row],[ozn]:[nr]])</f>
        <v>SZO58CY</v>
      </c>
      <c r="L290" s="1">
        <f>IF(VLOOKUP(uslugi49[[#This Row],[NIP]],nip_firm610[],2,FALSE)="BARTEX",1,0)</f>
        <v>0</v>
      </c>
    </row>
    <row r="291" spans="1:12" x14ac:dyDescent="0.25">
      <c r="A291" s="2" t="s">
        <v>777</v>
      </c>
      <c r="B291" s="3" t="s">
        <v>778</v>
      </c>
      <c r="C291" s="3" t="s">
        <v>778</v>
      </c>
      <c r="D291" s="4" t="s">
        <v>22</v>
      </c>
      <c r="F291">
        <v>1165493421</v>
      </c>
      <c r="G291" s="1" t="s">
        <v>1022</v>
      </c>
      <c r="H291" s="1" t="s">
        <v>1371</v>
      </c>
      <c r="I291" s="1" t="s">
        <v>1081</v>
      </c>
      <c r="J291">
        <v>3122</v>
      </c>
      <c r="K291" s="1" t="str">
        <f>_xlfn.CONCAT(uslugi49[[#This Row],[ozn]:[nr]])</f>
        <v>SZL72WG</v>
      </c>
      <c r="L291" s="1">
        <f>IF(VLOOKUP(uslugi49[[#This Row],[NIP]],nip_firm610[],2,FALSE)="BARTEX",1,0)</f>
        <v>0</v>
      </c>
    </row>
    <row r="292" spans="1:12" x14ac:dyDescent="0.25">
      <c r="A292" s="5" t="s">
        <v>779</v>
      </c>
      <c r="B292" s="6" t="s">
        <v>780</v>
      </c>
      <c r="C292" s="6" t="s">
        <v>781</v>
      </c>
      <c r="D292" s="7" t="s">
        <v>7</v>
      </c>
      <c r="F292">
        <v>1433397952</v>
      </c>
      <c r="G292" s="1" t="s">
        <v>314</v>
      </c>
      <c r="H292" s="1" t="s">
        <v>1372</v>
      </c>
      <c r="I292" s="1" t="s">
        <v>1081</v>
      </c>
      <c r="J292">
        <v>2660</v>
      </c>
      <c r="K292" s="1" t="str">
        <f>_xlfn.CONCAT(uslugi49[[#This Row],[ozn]:[nr]])</f>
        <v>PN16828</v>
      </c>
      <c r="L292" s="1">
        <f>IF(VLOOKUP(uslugi49[[#This Row],[NIP]],nip_firm610[],2,FALSE)="BARTEX",1,0)</f>
        <v>1</v>
      </c>
    </row>
    <row r="293" spans="1:12" x14ac:dyDescent="0.25">
      <c r="A293" s="2" t="s">
        <v>782</v>
      </c>
      <c r="B293" s="3" t="s">
        <v>780</v>
      </c>
      <c r="C293" s="3" t="s">
        <v>783</v>
      </c>
      <c r="D293" s="4" t="s">
        <v>7</v>
      </c>
      <c r="F293">
        <v>6727559092</v>
      </c>
      <c r="G293" s="1" t="s">
        <v>864</v>
      </c>
      <c r="H293" s="1" t="s">
        <v>1373</v>
      </c>
      <c r="I293" s="1" t="s">
        <v>1081</v>
      </c>
      <c r="J293">
        <v>2822</v>
      </c>
      <c r="K293" s="1" t="str">
        <f>_xlfn.CONCAT(uslugi49[[#This Row],[ozn]:[nr]])</f>
        <v>STA334F</v>
      </c>
      <c r="L293" s="1">
        <f>IF(VLOOKUP(uslugi49[[#This Row],[NIP]],nip_firm610[],2,FALSE)="BARTEX",1,0)</f>
        <v>0</v>
      </c>
    </row>
    <row r="294" spans="1:12" x14ac:dyDescent="0.25">
      <c r="A294" s="5" t="s">
        <v>784</v>
      </c>
      <c r="B294" s="6" t="s">
        <v>785</v>
      </c>
      <c r="C294" s="6" t="s">
        <v>786</v>
      </c>
      <c r="D294" s="7" t="s">
        <v>7</v>
      </c>
      <c r="F294">
        <v>5514533376</v>
      </c>
      <c r="G294" s="1" t="s">
        <v>255</v>
      </c>
      <c r="H294" s="1" t="s">
        <v>1374</v>
      </c>
      <c r="I294" s="1" t="s">
        <v>1081</v>
      </c>
      <c r="J294">
        <v>2895</v>
      </c>
      <c r="K294" s="1" t="str">
        <f>_xlfn.CONCAT(uslugi49[[#This Row],[ozn]:[nr]])</f>
        <v>DJE25890</v>
      </c>
      <c r="L294" s="1">
        <f>IF(VLOOKUP(uslugi49[[#This Row],[NIP]],nip_firm610[],2,FALSE)="BARTEX",1,0)</f>
        <v>0</v>
      </c>
    </row>
    <row r="295" spans="1:12" x14ac:dyDescent="0.25">
      <c r="A295" s="2" t="s">
        <v>787</v>
      </c>
      <c r="B295" s="3" t="s">
        <v>788</v>
      </c>
      <c r="C295" s="3" t="s">
        <v>789</v>
      </c>
      <c r="D295" s="4" t="s">
        <v>7</v>
      </c>
      <c r="F295">
        <v>3866883575</v>
      </c>
      <c r="G295" s="1" t="s">
        <v>434</v>
      </c>
      <c r="H295" s="1" t="s">
        <v>1375</v>
      </c>
      <c r="I295" s="1" t="s">
        <v>1081</v>
      </c>
      <c r="J295">
        <v>2638</v>
      </c>
      <c r="K295" s="1" t="str">
        <f>_xlfn.CONCAT(uslugi49[[#This Row],[ozn]:[nr]])</f>
        <v>LU3601Y</v>
      </c>
      <c r="L295" s="1">
        <f>IF(VLOOKUP(uslugi49[[#This Row],[NIP]],nip_firm610[],2,FALSE)="BARTEX",1,0)</f>
        <v>0</v>
      </c>
    </row>
    <row r="296" spans="1:12" x14ac:dyDescent="0.25">
      <c r="A296" s="5" t="s">
        <v>790</v>
      </c>
      <c r="B296" s="6" t="s">
        <v>791</v>
      </c>
      <c r="C296" s="6" t="s">
        <v>792</v>
      </c>
      <c r="D296" s="7" t="s">
        <v>7</v>
      </c>
      <c r="F296">
        <v>1433397952</v>
      </c>
      <c r="G296" s="1" t="s">
        <v>314</v>
      </c>
      <c r="H296" s="1" t="s">
        <v>1376</v>
      </c>
      <c r="I296" s="1" t="s">
        <v>1081</v>
      </c>
      <c r="J296">
        <v>2018</v>
      </c>
      <c r="K296" s="1" t="str">
        <f>_xlfn.CONCAT(uslugi49[[#This Row],[ozn]:[nr]])</f>
        <v>PN3641B</v>
      </c>
      <c r="L296" s="1">
        <f>IF(VLOOKUP(uslugi49[[#This Row],[NIP]],nip_firm610[],2,FALSE)="BARTEX",1,0)</f>
        <v>1</v>
      </c>
    </row>
    <row r="297" spans="1:12" x14ac:dyDescent="0.25">
      <c r="A297" s="2" t="s">
        <v>793</v>
      </c>
      <c r="B297" s="3" t="s">
        <v>794</v>
      </c>
      <c r="C297" s="3" t="s">
        <v>795</v>
      </c>
      <c r="D297" s="4" t="s">
        <v>7</v>
      </c>
      <c r="F297">
        <v>4779174699</v>
      </c>
      <c r="G297" s="1" t="s">
        <v>1003</v>
      </c>
      <c r="H297" s="1" t="s">
        <v>1377</v>
      </c>
      <c r="I297" s="1" t="s">
        <v>1081</v>
      </c>
      <c r="J297">
        <v>1600</v>
      </c>
      <c r="K297" s="1" t="str">
        <f>_xlfn.CONCAT(uslugi49[[#This Row],[ozn]:[nr]])</f>
        <v>DW16848</v>
      </c>
      <c r="L297" s="1">
        <f>IF(VLOOKUP(uslugi49[[#This Row],[NIP]],nip_firm610[],2,FALSE)="BARTEX",1,0)</f>
        <v>0</v>
      </c>
    </row>
    <row r="298" spans="1:12" x14ac:dyDescent="0.25">
      <c r="A298" s="5" t="s">
        <v>796</v>
      </c>
      <c r="B298" s="6" t="s">
        <v>797</v>
      </c>
      <c r="C298" s="6" t="s">
        <v>798</v>
      </c>
      <c r="D298" s="7" t="s">
        <v>7</v>
      </c>
      <c r="F298">
        <v>4326751508</v>
      </c>
      <c r="G298" s="1" t="s">
        <v>386</v>
      </c>
      <c r="H298" s="1" t="s">
        <v>1378</v>
      </c>
      <c r="I298" s="1" t="s">
        <v>1081</v>
      </c>
      <c r="J298">
        <v>1800</v>
      </c>
      <c r="K298" s="1" t="str">
        <f>_xlfn.CONCAT(uslugi49[[#This Row],[ozn]:[nr]])</f>
        <v>PL67576</v>
      </c>
      <c r="L298" s="1">
        <f>IF(VLOOKUP(uslugi49[[#This Row],[NIP]],nip_firm610[],2,FALSE)="BARTEX",1,0)</f>
        <v>0</v>
      </c>
    </row>
    <row r="299" spans="1:12" x14ac:dyDescent="0.25">
      <c r="A299" s="2" t="s">
        <v>799</v>
      </c>
      <c r="B299" s="3" t="s">
        <v>800</v>
      </c>
      <c r="C299" s="3" t="s">
        <v>801</v>
      </c>
      <c r="D299" s="4" t="s">
        <v>7</v>
      </c>
      <c r="F299">
        <v>4761158900</v>
      </c>
      <c r="G299" s="1" t="s">
        <v>29</v>
      </c>
      <c r="H299" s="1" t="s">
        <v>1379</v>
      </c>
      <c r="I299" s="1" t="s">
        <v>1081</v>
      </c>
      <c r="J299">
        <v>3144</v>
      </c>
      <c r="K299" s="1" t="str">
        <f>_xlfn.CONCAT(uslugi49[[#This Row],[ozn]:[nr]])</f>
        <v>BIA72020</v>
      </c>
      <c r="L299" s="1">
        <f>IF(VLOOKUP(uslugi49[[#This Row],[NIP]],nip_firm610[],2,FALSE)="BARTEX",1,0)</f>
        <v>0</v>
      </c>
    </row>
    <row r="300" spans="1:12" x14ac:dyDescent="0.25">
      <c r="A300" s="5" t="s">
        <v>802</v>
      </c>
      <c r="B300" s="6" t="s">
        <v>803</v>
      </c>
      <c r="C300" s="6" t="s">
        <v>804</v>
      </c>
      <c r="D300" s="7" t="s">
        <v>7</v>
      </c>
      <c r="F300">
        <v>2119268767</v>
      </c>
      <c r="G300" s="1" t="s">
        <v>141</v>
      </c>
      <c r="H300" s="1" t="s">
        <v>1380</v>
      </c>
      <c r="I300" s="1" t="s">
        <v>1081</v>
      </c>
      <c r="J300">
        <v>1740</v>
      </c>
      <c r="K300" s="1" t="str">
        <f>_xlfn.CONCAT(uslugi49[[#This Row],[ozn]:[nr]])</f>
        <v>NEBD604</v>
      </c>
      <c r="L300" s="1">
        <f>IF(VLOOKUP(uslugi49[[#This Row],[NIP]],nip_firm610[],2,FALSE)="BARTEX",1,0)</f>
        <v>0</v>
      </c>
    </row>
    <row r="301" spans="1:12" x14ac:dyDescent="0.25">
      <c r="A301" s="2" t="s">
        <v>805</v>
      </c>
      <c r="B301" s="3" t="s">
        <v>806</v>
      </c>
      <c r="C301" s="3" t="s">
        <v>807</v>
      </c>
      <c r="D301" s="4" t="s">
        <v>7</v>
      </c>
      <c r="F301">
        <v>2581219876</v>
      </c>
      <c r="G301" s="1" t="s">
        <v>141</v>
      </c>
      <c r="H301" s="1" t="s">
        <v>1381</v>
      </c>
      <c r="I301" s="1" t="s">
        <v>1081</v>
      </c>
      <c r="J301">
        <v>2490</v>
      </c>
      <c r="K301" s="1" t="str">
        <f>_xlfn.CONCAT(uslugi49[[#This Row],[ozn]:[nr]])</f>
        <v>NEBY726</v>
      </c>
      <c r="L301" s="1">
        <f>IF(VLOOKUP(uslugi49[[#This Row],[NIP]],nip_firm610[],2,FALSE)="BARTEX",1,0)</f>
        <v>0</v>
      </c>
    </row>
    <row r="302" spans="1:12" x14ac:dyDescent="0.25">
      <c r="A302" s="5" t="s">
        <v>808</v>
      </c>
      <c r="B302" s="6" t="s">
        <v>809</v>
      </c>
      <c r="C302" s="6" t="s">
        <v>810</v>
      </c>
      <c r="D302" s="7" t="s">
        <v>7</v>
      </c>
      <c r="F302">
        <v>2281651150</v>
      </c>
      <c r="G302" s="1" t="s">
        <v>552</v>
      </c>
      <c r="H302" s="1" t="s">
        <v>1382</v>
      </c>
      <c r="I302" s="1" t="s">
        <v>1087</v>
      </c>
      <c r="J302">
        <v>2170</v>
      </c>
      <c r="K302" s="1" t="str">
        <f>_xlfn.CONCAT(uslugi49[[#This Row],[ozn]:[nr]])</f>
        <v>NOLY648</v>
      </c>
      <c r="L302" s="1">
        <f>IF(VLOOKUP(uslugi49[[#This Row],[NIP]],nip_firm610[],2,FALSE)="BARTEX",1,0)</f>
        <v>0</v>
      </c>
    </row>
    <row r="303" spans="1:12" x14ac:dyDescent="0.25">
      <c r="A303" s="2" t="s">
        <v>811</v>
      </c>
      <c r="B303" s="3" t="s">
        <v>812</v>
      </c>
      <c r="C303" s="3" t="s">
        <v>813</v>
      </c>
      <c r="D303" s="4" t="s">
        <v>7</v>
      </c>
      <c r="F303">
        <v>1599095267</v>
      </c>
      <c r="G303" s="1" t="s">
        <v>1022</v>
      </c>
      <c r="H303" s="1" t="s">
        <v>1383</v>
      </c>
      <c r="I303" s="1" t="s">
        <v>1081</v>
      </c>
      <c r="J303">
        <v>2238</v>
      </c>
      <c r="K303" s="1" t="str">
        <f>_xlfn.CONCAT(uslugi49[[#This Row],[ozn]:[nr]])</f>
        <v>SZPR133</v>
      </c>
      <c r="L303" s="1">
        <f>IF(VLOOKUP(uslugi49[[#This Row],[NIP]],nip_firm610[],2,FALSE)="BARTEX",1,0)</f>
        <v>0</v>
      </c>
    </row>
    <row r="304" spans="1:12" x14ac:dyDescent="0.25">
      <c r="A304" s="5" t="s">
        <v>814</v>
      </c>
      <c r="B304" s="6" t="s">
        <v>815</v>
      </c>
      <c r="C304" s="6" t="s">
        <v>816</v>
      </c>
      <c r="D304" s="7" t="s">
        <v>7</v>
      </c>
      <c r="F304">
        <v>3783578981</v>
      </c>
      <c r="G304" s="1" t="s">
        <v>386</v>
      </c>
      <c r="H304" s="1" t="s">
        <v>1384</v>
      </c>
      <c r="I304" s="1" t="s">
        <v>1087</v>
      </c>
      <c r="J304">
        <v>2642</v>
      </c>
      <c r="K304" s="1" t="str">
        <f>_xlfn.CONCAT(uslugi49[[#This Row],[ozn]:[nr]])</f>
        <v>PL28516</v>
      </c>
      <c r="L304" s="1">
        <f>IF(VLOOKUP(uslugi49[[#This Row],[NIP]],nip_firm610[],2,FALSE)="BARTEX",1,0)</f>
        <v>0</v>
      </c>
    </row>
    <row r="305" spans="1:12" x14ac:dyDescent="0.25">
      <c r="A305" s="2" t="s">
        <v>817</v>
      </c>
      <c r="B305" s="3" t="s">
        <v>818</v>
      </c>
      <c r="C305" s="3" t="s">
        <v>819</v>
      </c>
      <c r="D305" s="4" t="s">
        <v>7</v>
      </c>
      <c r="F305">
        <v>4779174699</v>
      </c>
      <c r="G305" s="1" t="s">
        <v>1003</v>
      </c>
      <c r="H305" s="1" t="s">
        <v>1385</v>
      </c>
      <c r="I305" s="1" t="s">
        <v>1081</v>
      </c>
      <c r="J305">
        <v>1575</v>
      </c>
      <c r="K305" s="1" t="str">
        <f>_xlfn.CONCAT(uslugi49[[#This Row],[ozn]:[nr]])</f>
        <v>DW16850</v>
      </c>
      <c r="L305" s="1">
        <f>IF(VLOOKUP(uslugi49[[#This Row],[NIP]],nip_firm610[],2,FALSE)="BARTEX",1,0)</f>
        <v>0</v>
      </c>
    </row>
    <row r="306" spans="1:12" x14ac:dyDescent="0.25">
      <c r="A306" s="5" t="s">
        <v>820</v>
      </c>
      <c r="B306" s="6" t="s">
        <v>821</v>
      </c>
      <c r="C306" s="6" t="s">
        <v>821</v>
      </c>
      <c r="D306" s="7" t="s">
        <v>22</v>
      </c>
      <c r="F306">
        <v>4580185570</v>
      </c>
      <c r="G306" s="1" t="s">
        <v>1022</v>
      </c>
      <c r="H306" s="1" t="s">
        <v>1386</v>
      </c>
      <c r="I306" s="1" t="s">
        <v>1081</v>
      </c>
      <c r="J306">
        <v>1623</v>
      </c>
      <c r="K306" s="1" t="str">
        <f>_xlfn.CONCAT(uslugi49[[#This Row],[ozn]:[nr]])</f>
        <v>SZJG549</v>
      </c>
      <c r="L306" s="1">
        <f>IF(VLOOKUP(uslugi49[[#This Row],[NIP]],nip_firm610[],2,FALSE)="BARTEX",1,0)</f>
        <v>0</v>
      </c>
    </row>
    <row r="307" spans="1:12" x14ac:dyDescent="0.25">
      <c r="A307" s="2" t="s">
        <v>822</v>
      </c>
      <c r="B307" s="3" t="s">
        <v>823</v>
      </c>
      <c r="C307" s="3" t="s">
        <v>821</v>
      </c>
      <c r="D307" s="4" t="s">
        <v>7</v>
      </c>
      <c r="F307">
        <v>6727559092</v>
      </c>
      <c r="G307" s="1" t="s">
        <v>864</v>
      </c>
      <c r="H307" s="1" t="s">
        <v>1387</v>
      </c>
      <c r="I307" s="1" t="s">
        <v>1087</v>
      </c>
      <c r="J307">
        <v>2550</v>
      </c>
      <c r="K307" s="1" t="str">
        <f>_xlfn.CONCAT(uslugi49[[#This Row],[ozn]:[nr]])</f>
        <v>STA290G</v>
      </c>
      <c r="L307" s="1">
        <f>IF(VLOOKUP(uslugi49[[#This Row],[NIP]],nip_firm610[],2,FALSE)="BARTEX",1,0)</f>
        <v>0</v>
      </c>
    </row>
    <row r="308" spans="1:12" x14ac:dyDescent="0.25">
      <c r="A308" s="5" t="s">
        <v>824</v>
      </c>
      <c r="B308" s="6" t="s">
        <v>825</v>
      </c>
      <c r="C308" s="6" t="s">
        <v>826</v>
      </c>
      <c r="D308" s="7" t="s">
        <v>7</v>
      </c>
      <c r="F308">
        <v>6727559092</v>
      </c>
      <c r="G308" s="1" t="s">
        <v>864</v>
      </c>
      <c r="H308" s="1" t="s">
        <v>1388</v>
      </c>
      <c r="I308" s="1" t="s">
        <v>1081</v>
      </c>
      <c r="J308">
        <v>2384</v>
      </c>
      <c r="K308" s="1" t="str">
        <f>_xlfn.CONCAT(uslugi49[[#This Row],[ozn]:[nr]])</f>
        <v>STA312W</v>
      </c>
      <c r="L308" s="1">
        <f>IF(VLOOKUP(uslugi49[[#This Row],[NIP]],nip_firm610[],2,FALSE)="BARTEX",1,0)</f>
        <v>0</v>
      </c>
    </row>
    <row r="309" spans="1:12" x14ac:dyDescent="0.25">
      <c r="A309" s="2" t="s">
        <v>827</v>
      </c>
      <c r="B309" s="3" t="s">
        <v>825</v>
      </c>
      <c r="C309" s="3" t="s">
        <v>828</v>
      </c>
      <c r="D309" s="4" t="s">
        <v>7</v>
      </c>
      <c r="F309">
        <v>5418968184</v>
      </c>
      <c r="G309" s="1" t="s">
        <v>708</v>
      </c>
      <c r="H309" s="1" t="s">
        <v>1389</v>
      </c>
      <c r="I309" s="1" t="s">
        <v>1087</v>
      </c>
      <c r="J309">
        <v>2364</v>
      </c>
      <c r="K309" s="1" t="str">
        <f>_xlfn.CONCAT(uslugi49[[#This Row],[ozn]:[nr]])</f>
        <v>SRO66QH</v>
      </c>
      <c r="L309" s="1">
        <f>IF(VLOOKUP(uslugi49[[#This Row],[NIP]],nip_firm610[],2,FALSE)="BARTEX",1,0)</f>
        <v>0</v>
      </c>
    </row>
    <row r="310" spans="1:12" x14ac:dyDescent="0.25">
      <c r="A310" s="5" t="s">
        <v>829</v>
      </c>
      <c r="B310" s="6" t="s">
        <v>830</v>
      </c>
      <c r="C310" s="6" t="s">
        <v>831</v>
      </c>
      <c r="D310" s="7" t="s">
        <v>7</v>
      </c>
      <c r="F310">
        <v>5514533376</v>
      </c>
      <c r="G310" s="1" t="s">
        <v>255</v>
      </c>
      <c r="H310" s="1" t="s">
        <v>1390</v>
      </c>
      <c r="I310" s="1" t="s">
        <v>1081</v>
      </c>
      <c r="J310">
        <v>2642</v>
      </c>
      <c r="K310" s="1" t="str">
        <f>_xlfn.CONCAT(uslugi49[[#This Row],[ozn]:[nr]])</f>
        <v>DJE26496</v>
      </c>
      <c r="L310" s="1">
        <f>IF(VLOOKUP(uslugi49[[#This Row],[NIP]],nip_firm610[],2,FALSE)="BARTEX",1,0)</f>
        <v>0</v>
      </c>
    </row>
    <row r="311" spans="1:12" x14ac:dyDescent="0.25">
      <c r="A311" s="2" t="s">
        <v>832</v>
      </c>
      <c r="B311" s="3" t="s">
        <v>833</v>
      </c>
      <c r="C311" s="3" t="s">
        <v>834</v>
      </c>
      <c r="D311" s="4" t="s">
        <v>7</v>
      </c>
      <c r="F311">
        <v>3579231044</v>
      </c>
      <c r="G311" s="1" t="s">
        <v>370</v>
      </c>
      <c r="H311" s="1" t="s">
        <v>1391</v>
      </c>
      <c r="I311" s="1" t="s">
        <v>1081</v>
      </c>
      <c r="J311">
        <v>3002</v>
      </c>
      <c r="K311" s="1" t="str">
        <f>_xlfn.CONCAT(uslugi49[[#This Row],[ozn]:[nr]])</f>
        <v>LLER714</v>
      </c>
      <c r="L311" s="1">
        <f>IF(VLOOKUP(uslugi49[[#This Row],[NIP]],nip_firm610[],2,FALSE)="BARTEX",1,0)</f>
        <v>0</v>
      </c>
    </row>
    <row r="312" spans="1:12" x14ac:dyDescent="0.25">
      <c r="A312" s="5" t="s">
        <v>835</v>
      </c>
      <c r="B312" s="6" t="s">
        <v>836</v>
      </c>
      <c r="C312" s="6" t="s">
        <v>837</v>
      </c>
      <c r="D312" s="7" t="s">
        <v>7</v>
      </c>
      <c r="F312">
        <v>4458233905</v>
      </c>
      <c r="G312" s="1" t="s">
        <v>1003</v>
      </c>
      <c r="H312" s="1" t="s">
        <v>1392</v>
      </c>
      <c r="I312" s="1" t="s">
        <v>1081</v>
      </c>
      <c r="J312">
        <v>3128</v>
      </c>
      <c r="K312" s="1" t="str">
        <f>_xlfn.CONCAT(uslugi49[[#This Row],[ozn]:[nr]])</f>
        <v>DW56456</v>
      </c>
      <c r="L312" s="1">
        <f>IF(VLOOKUP(uslugi49[[#This Row],[NIP]],nip_firm610[],2,FALSE)="BARTEX",1,0)</f>
        <v>0</v>
      </c>
    </row>
    <row r="313" spans="1:12" x14ac:dyDescent="0.25">
      <c r="A313" s="2" t="s">
        <v>838</v>
      </c>
      <c r="B313" s="3" t="s">
        <v>839</v>
      </c>
      <c r="C313" s="3" t="s">
        <v>840</v>
      </c>
      <c r="D313" s="4" t="s">
        <v>22</v>
      </c>
      <c r="F313">
        <v>1939065269</v>
      </c>
      <c r="G313" s="1" t="s">
        <v>636</v>
      </c>
      <c r="H313" s="1" t="s">
        <v>1393</v>
      </c>
      <c r="I313" s="1" t="s">
        <v>1087</v>
      </c>
      <c r="J313">
        <v>1980</v>
      </c>
      <c r="K313" s="1" t="str">
        <f>_xlfn.CONCAT(uslugi49[[#This Row],[ozn]:[nr]])</f>
        <v>PO16884</v>
      </c>
      <c r="L313" s="1">
        <f>IF(VLOOKUP(uslugi49[[#This Row],[NIP]],nip_firm610[],2,FALSE)="BARTEX",1,0)</f>
        <v>0</v>
      </c>
    </row>
    <row r="314" spans="1:12" x14ac:dyDescent="0.25">
      <c r="A314" s="5" t="s">
        <v>841</v>
      </c>
      <c r="B314" s="6" t="s">
        <v>842</v>
      </c>
      <c r="C314" s="6" t="s">
        <v>842</v>
      </c>
      <c r="D314" s="7" t="s">
        <v>22</v>
      </c>
      <c r="F314">
        <v>3345883725</v>
      </c>
      <c r="G314" s="1" t="s">
        <v>428</v>
      </c>
      <c r="H314" s="1" t="s">
        <v>1394</v>
      </c>
      <c r="I314" s="1" t="s">
        <v>1087</v>
      </c>
      <c r="J314">
        <v>2784</v>
      </c>
      <c r="K314" s="1" t="str">
        <f>_xlfn.CONCAT(uslugi49[[#This Row],[ozn]:[nr]])</f>
        <v>LUBI740</v>
      </c>
      <c r="L314" s="1">
        <f>IF(VLOOKUP(uslugi49[[#This Row],[NIP]],nip_firm610[],2,FALSE)="BARTEX",1,0)</f>
        <v>0</v>
      </c>
    </row>
    <row r="315" spans="1:12" x14ac:dyDescent="0.25">
      <c r="A315" s="2" t="s">
        <v>843</v>
      </c>
      <c r="B315" s="3" t="s">
        <v>844</v>
      </c>
      <c r="C315" s="3" t="s">
        <v>845</v>
      </c>
      <c r="D315" s="4" t="s">
        <v>7</v>
      </c>
      <c r="F315">
        <v>3357631311</v>
      </c>
      <c r="G315" s="1" t="s">
        <v>1030</v>
      </c>
      <c r="H315" s="1" t="s">
        <v>1395</v>
      </c>
      <c r="I315" s="1" t="s">
        <v>1081</v>
      </c>
      <c r="J315">
        <v>2014</v>
      </c>
      <c r="K315" s="1" t="str">
        <f>_xlfn.CONCAT(uslugi49[[#This Row],[ozn]:[nr]])</f>
        <v>LZAT642</v>
      </c>
      <c r="L315" s="1">
        <f>IF(VLOOKUP(uslugi49[[#This Row],[NIP]],nip_firm610[],2,FALSE)="BARTEX",1,0)</f>
        <v>0</v>
      </c>
    </row>
    <row r="316" spans="1:12" x14ac:dyDescent="0.25">
      <c r="A316" s="5" t="s">
        <v>846</v>
      </c>
      <c r="B316" s="6" t="s">
        <v>847</v>
      </c>
      <c r="C316" s="6" t="s">
        <v>847</v>
      </c>
      <c r="D316" s="7" t="s">
        <v>22</v>
      </c>
      <c r="F316">
        <v>2869229213</v>
      </c>
      <c r="G316" s="1" t="s">
        <v>708</v>
      </c>
      <c r="H316" s="1" t="s">
        <v>1396</v>
      </c>
      <c r="I316" s="1" t="s">
        <v>1087</v>
      </c>
      <c r="J316">
        <v>1280</v>
      </c>
      <c r="K316" s="1" t="str">
        <f>_xlfn.CONCAT(uslugi49[[#This Row],[ozn]:[nr]])</f>
        <v>SRK34AW</v>
      </c>
      <c r="L316" s="1">
        <f>IF(VLOOKUP(uslugi49[[#This Row],[NIP]],nip_firm610[],2,FALSE)="BARTEX",1,0)</f>
        <v>0</v>
      </c>
    </row>
    <row r="317" spans="1:12" x14ac:dyDescent="0.25">
      <c r="A317" s="2" t="s">
        <v>848</v>
      </c>
      <c r="B317" s="3" t="s">
        <v>849</v>
      </c>
      <c r="C317" s="3" t="s">
        <v>850</v>
      </c>
      <c r="D317" s="4" t="s">
        <v>7</v>
      </c>
      <c r="F317">
        <v>1599095267</v>
      </c>
      <c r="G317" s="1" t="s">
        <v>708</v>
      </c>
      <c r="H317" s="1" t="s">
        <v>1397</v>
      </c>
      <c r="I317" s="1" t="s">
        <v>1087</v>
      </c>
      <c r="J317">
        <v>2796</v>
      </c>
      <c r="K317" s="1" t="str">
        <f>_xlfn.CONCAT(uslugi49[[#This Row],[ozn]:[nr]])</f>
        <v>SRPS130</v>
      </c>
      <c r="L317" s="1">
        <f>IF(VLOOKUP(uslugi49[[#This Row],[NIP]],nip_firm610[],2,FALSE)="BARTEX",1,0)</f>
        <v>0</v>
      </c>
    </row>
    <row r="318" spans="1:12" x14ac:dyDescent="0.25">
      <c r="A318" s="5" t="s">
        <v>851</v>
      </c>
      <c r="B318" s="6" t="s">
        <v>852</v>
      </c>
      <c r="C318" s="6" t="s">
        <v>853</v>
      </c>
      <c r="D318" s="7" t="s">
        <v>7</v>
      </c>
      <c r="F318">
        <v>3678947206</v>
      </c>
      <c r="G318" s="1" t="s">
        <v>527</v>
      </c>
      <c r="H318" s="1" t="s">
        <v>1398</v>
      </c>
      <c r="I318" s="1" t="s">
        <v>1087</v>
      </c>
      <c r="J318">
        <v>2475</v>
      </c>
      <c r="K318" s="1" t="str">
        <f>_xlfn.CONCAT(uslugi49[[#This Row],[ozn]:[nr]])</f>
        <v>ONY1289</v>
      </c>
      <c r="L318" s="1">
        <f>IF(VLOOKUP(uslugi49[[#This Row],[NIP]],nip_firm610[],2,FALSE)="BARTEX",1,0)</f>
        <v>0</v>
      </c>
    </row>
    <row r="319" spans="1:12" x14ac:dyDescent="0.25">
      <c r="A319" s="2" t="s">
        <v>854</v>
      </c>
      <c r="B319" s="3" t="s">
        <v>855</v>
      </c>
      <c r="C319" s="3" t="s">
        <v>856</v>
      </c>
      <c r="D319" s="4" t="s">
        <v>7</v>
      </c>
      <c r="F319">
        <v>2245871126</v>
      </c>
      <c r="G319" s="1" t="s">
        <v>73</v>
      </c>
      <c r="H319" s="1" t="s">
        <v>1399</v>
      </c>
      <c r="I319" s="1" t="s">
        <v>1087</v>
      </c>
      <c r="J319">
        <v>1806</v>
      </c>
      <c r="K319" s="1" t="str">
        <f>_xlfn.CONCAT(uslugi49[[#This Row],[ozn]:[nr]])</f>
        <v>TBU23668</v>
      </c>
      <c r="L319" s="1">
        <f>IF(VLOOKUP(uslugi49[[#This Row],[NIP]],nip_firm610[],2,FALSE)="BARTEX",1,0)</f>
        <v>0</v>
      </c>
    </row>
    <row r="320" spans="1:12" x14ac:dyDescent="0.25">
      <c r="A320" s="5" t="s">
        <v>857</v>
      </c>
      <c r="B320" s="6" t="s">
        <v>858</v>
      </c>
      <c r="C320" s="6" t="s">
        <v>859</v>
      </c>
      <c r="D320" s="7" t="s">
        <v>7</v>
      </c>
      <c r="F320">
        <v>5115061689</v>
      </c>
      <c r="G320" s="1" t="s">
        <v>704</v>
      </c>
      <c r="H320" s="1" t="s">
        <v>1400</v>
      </c>
      <c r="I320" s="1" t="s">
        <v>1087</v>
      </c>
      <c r="J320">
        <v>2595</v>
      </c>
      <c r="K320" s="1" t="str">
        <f>_xlfn.CONCAT(uslugi49[[#This Row],[ozn]:[nr]])</f>
        <v>SRS20AF</v>
      </c>
      <c r="L320" s="1">
        <f>IF(VLOOKUP(uslugi49[[#This Row],[NIP]],nip_firm610[],2,FALSE)="BARTEX",1,0)</f>
        <v>0</v>
      </c>
    </row>
    <row r="321" spans="1:12" x14ac:dyDescent="0.25">
      <c r="A321" s="2" t="s">
        <v>860</v>
      </c>
      <c r="B321" s="3" t="s">
        <v>861</v>
      </c>
      <c r="C321" s="3" t="s">
        <v>861</v>
      </c>
      <c r="D321" s="4" t="s">
        <v>22</v>
      </c>
      <c r="F321">
        <v>1620242236</v>
      </c>
      <c r="G321" s="1" t="s">
        <v>314</v>
      </c>
      <c r="H321" s="1" t="s">
        <v>1401</v>
      </c>
      <c r="I321" s="1" t="s">
        <v>1081</v>
      </c>
      <c r="J321">
        <v>2836</v>
      </c>
      <c r="K321" s="1" t="str">
        <f>_xlfn.CONCAT(uslugi49[[#This Row],[ozn]:[nr]])</f>
        <v>PN4121F</v>
      </c>
      <c r="L321" s="1">
        <f>IF(VLOOKUP(uslugi49[[#This Row],[NIP]],nip_firm610[],2,FALSE)="BARTEX",1,0)</f>
        <v>0</v>
      </c>
    </row>
    <row r="322" spans="1:12" x14ac:dyDescent="0.25">
      <c r="A322" s="5" t="s">
        <v>862</v>
      </c>
      <c r="B322" s="6" t="s">
        <v>863</v>
      </c>
      <c r="C322" s="6" t="s">
        <v>861</v>
      </c>
      <c r="D322" s="7" t="s">
        <v>7</v>
      </c>
      <c r="F322">
        <v>3318203338</v>
      </c>
      <c r="G322" s="1" t="s">
        <v>708</v>
      </c>
      <c r="H322" s="1" t="s">
        <v>1402</v>
      </c>
      <c r="I322" s="1" t="s">
        <v>1087</v>
      </c>
      <c r="J322">
        <v>2349</v>
      </c>
      <c r="K322" s="1" t="str">
        <f>_xlfn.CONCAT(uslugi49[[#This Row],[ozn]:[nr]])</f>
        <v>SRL45QM</v>
      </c>
      <c r="L322" s="1">
        <f>IF(VLOOKUP(uslugi49[[#This Row],[NIP]],nip_firm610[],2,FALSE)="BARTEX",1,0)</f>
        <v>0</v>
      </c>
    </row>
    <row r="323" spans="1:12" x14ac:dyDescent="0.25">
      <c r="A323" s="2" t="s">
        <v>864</v>
      </c>
      <c r="B323" s="3" t="s">
        <v>865</v>
      </c>
      <c r="C323" s="3" t="s">
        <v>866</v>
      </c>
      <c r="D323" s="4" t="s">
        <v>7</v>
      </c>
      <c r="F323">
        <v>3357631311</v>
      </c>
      <c r="G323" s="1" t="s">
        <v>1030</v>
      </c>
      <c r="H323" s="1" t="s">
        <v>1403</v>
      </c>
      <c r="I323" s="1" t="s">
        <v>1087</v>
      </c>
      <c r="J323">
        <v>2870</v>
      </c>
      <c r="K323" s="1" t="str">
        <f>_xlfn.CONCAT(uslugi49[[#This Row],[ozn]:[nr]])</f>
        <v>LZAH640</v>
      </c>
      <c r="L323" s="1">
        <f>IF(VLOOKUP(uslugi49[[#This Row],[NIP]],nip_firm610[],2,FALSE)="BARTEX",1,0)</f>
        <v>0</v>
      </c>
    </row>
    <row r="324" spans="1:12" x14ac:dyDescent="0.25">
      <c r="A324" s="5" t="s">
        <v>867</v>
      </c>
      <c r="B324" s="6" t="s">
        <v>868</v>
      </c>
      <c r="C324" s="6" t="s">
        <v>868</v>
      </c>
      <c r="D324" s="7" t="s">
        <v>22</v>
      </c>
      <c r="F324">
        <v>4580185570</v>
      </c>
      <c r="G324" s="1" t="s">
        <v>708</v>
      </c>
      <c r="H324" s="1" t="s">
        <v>1404</v>
      </c>
      <c r="I324" s="1" t="s">
        <v>1087</v>
      </c>
      <c r="J324">
        <v>2616</v>
      </c>
      <c r="K324" s="1" t="str">
        <f>_xlfn.CONCAT(uslugi49[[#This Row],[ozn]:[nr]])</f>
        <v>SRJH548</v>
      </c>
      <c r="L324" s="1">
        <f>IF(VLOOKUP(uslugi49[[#This Row],[NIP]],nip_firm610[],2,FALSE)="BARTEX",1,0)</f>
        <v>0</v>
      </c>
    </row>
    <row r="325" spans="1:12" x14ac:dyDescent="0.25">
      <c r="A325" s="2" t="s">
        <v>869</v>
      </c>
      <c r="B325" s="3" t="s">
        <v>870</v>
      </c>
      <c r="C325" s="3" t="s">
        <v>868</v>
      </c>
      <c r="D325" s="4" t="s">
        <v>7</v>
      </c>
      <c r="F325">
        <v>6758177505</v>
      </c>
      <c r="G325" s="1" t="s">
        <v>864</v>
      </c>
      <c r="H325" s="1" t="s">
        <v>1405</v>
      </c>
      <c r="I325" s="1" t="s">
        <v>1081</v>
      </c>
      <c r="J325">
        <v>2523</v>
      </c>
      <c r="K325" s="1" t="str">
        <f>_xlfn.CONCAT(uslugi49[[#This Row],[ozn]:[nr]])</f>
        <v>STA534U</v>
      </c>
      <c r="L325" s="1">
        <f>IF(VLOOKUP(uslugi49[[#This Row],[NIP]],nip_firm610[],2,FALSE)="BARTEX",1,0)</f>
        <v>0</v>
      </c>
    </row>
    <row r="326" spans="1:12" x14ac:dyDescent="0.25">
      <c r="A326" s="5" t="s">
        <v>871</v>
      </c>
      <c r="B326" s="6" t="s">
        <v>872</v>
      </c>
      <c r="C326" s="6" t="s">
        <v>873</v>
      </c>
      <c r="D326" s="7" t="s">
        <v>7</v>
      </c>
      <c r="F326">
        <v>3568004264</v>
      </c>
      <c r="G326" s="1" t="s">
        <v>428</v>
      </c>
      <c r="H326" s="1" t="s">
        <v>1406</v>
      </c>
      <c r="I326" s="1" t="s">
        <v>1081</v>
      </c>
      <c r="J326">
        <v>2060</v>
      </c>
      <c r="K326" s="1" t="str">
        <f>_xlfn.CONCAT(uslugi49[[#This Row],[ozn]:[nr]])</f>
        <v>LUBG634</v>
      </c>
      <c r="L326" s="1">
        <f>IF(VLOOKUP(uslugi49[[#This Row],[NIP]],nip_firm610[],2,FALSE)="BARTEX",1,0)</f>
        <v>0</v>
      </c>
    </row>
    <row r="327" spans="1:12" x14ac:dyDescent="0.25">
      <c r="A327" s="2" t="s">
        <v>874</v>
      </c>
      <c r="B327" s="3" t="s">
        <v>875</v>
      </c>
      <c r="C327" s="3" t="s">
        <v>876</v>
      </c>
      <c r="D327" s="4" t="s">
        <v>7</v>
      </c>
      <c r="F327">
        <v>3470453173</v>
      </c>
      <c r="G327" s="1" t="s">
        <v>85</v>
      </c>
      <c r="H327" s="1" t="s">
        <v>1407</v>
      </c>
      <c r="I327" s="1" t="s">
        <v>1087</v>
      </c>
      <c r="J327">
        <v>2151</v>
      </c>
      <c r="K327" s="1" t="str">
        <f>_xlfn.CONCAT(uslugi49[[#This Row],[ozn]:[nr]])</f>
        <v>LC7891Q</v>
      </c>
      <c r="L327" s="1">
        <f>IF(VLOOKUP(uslugi49[[#This Row],[NIP]],nip_firm610[],2,FALSE)="BARTEX",1,0)</f>
        <v>0</v>
      </c>
    </row>
    <row r="328" spans="1:12" x14ac:dyDescent="0.25">
      <c r="A328" s="5" t="s">
        <v>877</v>
      </c>
      <c r="B328" s="6" t="s">
        <v>878</v>
      </c>
      <c r="C328" s="6" t="s">
        <v>879</v>
      </c>
      <c r="D328" s="7" t="s">
        <v>7</v>
      </c>
      <c r="F328">
        <v>3866883575</v>
      </c>
      <c r="G328" s="1" t="s">
        <v>434</v>
      </c>
      <c r="H328" s="1" t="s">
        <v>1408</v>
      </c>
      <c r="I328" s="1" t="s">
        <v>1087</v>
      </c>
      <c r="J328">
        <v>2818</v>
      </c>
      <c r="K328" s="1" t="str">
        <f>_xlfn.CONCAT(uslugi49[[#This Row],[ozn]:[nr]])</f>
        <v>LU3591T</v>
      </c>
      <c r="L328" s="1">
        <f>IF(VLOOKUP(uslugi49[[#This Row],[NIP]],nip_firm610[],2,FALSE)="BARTEX",1,0)</f>
        <v>0</v>
      </c>
    </row>
    <row r="329" spans="1:12" x14ac:dyDescent="0.25">
      <c r="A329" s="2" t="s">
        <v>880</v>
      </c>
      <c r="B329" s="3" t="s">
        <v>878</v>
      </c>
      <c r="C329" s="3" t="s">
        <v>881</v>
      </c>
      <c r="D329" s="4" t="s">
        <v>7</v>
      </c>
      <c r="F329">
        <v>1433397952</v>
      </c>
      <c r="G329" s="1" t="s">
        <v>314</v>
      </c>
      <c r="H329" s="1" t="s">
        <v>1409</v>
      </c>
      <c r="I329" s="1" t="s">
        <v>1087</v>
      </c>
      <c r="J329">
        <v>1851</v>
      </c>
      <c r="K329" s="1" t="str">
        <f>_xlfn.CONCAT(uslugi49[[#This Row],[ozn]:[nr]])</f>
        <v>PN3661T</v>
      </c>
      <c r="L329" s="1">
        <f>IF(VLOOKUP(uslugi49[[#This Row],[NIP]],nip_firm610[],2,FALSE)="BARTEX",1,0)</f>
        <v>1</v>
      </c>
    </row>
    <row r="330" spans="1:12" x14ac:dyDescent="0.25">
      <c r="A330" s="5" t="s">
        <v>882</v>
      </c>
      <c r="B330" s="6" t="s">
        <v>883</v>
      </c>
      <c r="C330" s="6" t="s">
        <v>883</v>
      </c>
      <c r="D330" s="7" t="s">
        <v>22</v>
      </c>
      <c r="F330">
        <v>3470453173</v>
      </c>
      <c r="G330" s="1" t="s">
        <v>85</v>
      </c>
      <c r="H330" s="1" t="s">
        <v>1410</v>
      </c>
      <c r="I330" s="1" t="s">
        <v>1081</v>
      </c>
      <c r="J330">
        <v>2062</v>
      </c>
      <c r="K330" s="1" t="str">
        <f>_xlfn.CONCAT(uslugi49[[#This Row],[ozn]:[nr]])</f>
        <v>LC7899B</v>
      </c>
      <c r="L330" s="1">
        <f>IF(VLOOKUP(uslugi49[[#This Row],[NIP]],nip_firm610[],2,FALSE)="BARTEX",1,0)</f>
        <v>0</v>
      </c>
    </row>
    <row r="331" spans="1:12" x14ac:dyDescent="0.25">
      <c r="A331" s="2" t="s">
        <v>884</v>
      </c>
      <c r="B331" s="3" t="s">
        <v>885</v>
      </c>
      <c r="C331" s="3" t="s">
        <v>883</v>
      </c>
      <c r="D331" s="4" t="s">
        <v>7</v>
      </c>
      <c r="F331">
        <v>6758177505</v>
      </c>
      <c r="G331" s="1" t="s">
        <v>864</v>
      </c>
      <c r="H331" s="1" t="s">
        <v>1411</v>
      </c>
      <c r="I331" s="1" t="s">
        <v>1087</v>
      </c>
      <c r="J331">
        <v>2258</v>
      </c>
      <c r="K331" s="1" t="str">
        <f>_xlfn.CONCAT(uslugi49[[#This Row],[ozn]:[nr]])</f>
        <v>STA457K</v>
      </c>
      <c r="L331" s="1">
        <f>IF(VLOOKUP(uslugi49[[#This Row],[NIP]],nip_firm610[],2,FALSE)="BARTEX",1,0)</f>
        <v>0</v>
      </c>
    </row>
    <row r="332" spans="1:12" x14ac:dyDescent="0.25">
      <c r="A332" s="5" t="s">
        <v>886</v>
      </c>
      <c r="B332" s="6" t="s">
        <v>887</v>
      </c>
      <c r="C332" s="6" t="s">
        <v>888</v>
      </c>
      <c r="D332" s="7" t="s">
        <v>7</v>
      </c>
      <c r="F332">
        <v>5266741491</v>
      </c>
      <c r="G332" s="1" t="s">
        <v>708</v>
      </c>
      <c r="H332" s="1" t="s">
        <v>1412</v>
      </c>
      <c r="I332" s="1" t="s">
        <v>1087</v>
      </c>
      <c r="J332">
        <v>1774</v>
      </c>
      <c r="K332" s="1" t="str">
        <f>_xlfn.CONCAT(uslugi49[[#This Row],[ozn]:[nr]])</f>
        <v>SRP46ZH</v>
      </c>
      <c r="L332" s="1">
        <f>IF(VLOOKUP(uslugi49[[#This Row],[NIP]],nip_firm610[],2,FALSE)="BARTEX",1,0)</f>
        <v>0</v>
      </c>
    </row>
    <row r="333" spans="1:12" x14ac:dyDescent="0.25">
      <c r="A333" s="2" t="s">
        <v>889</v>
      </c>
      <c r="B333" s="3" t="s">
        <v>890</v>
      </c>
      <c r="C333" s="3" t="s">
        <v>891</v>
      </c>
      <c r="D333" s="4" t="s">
        <v>7</v>
      </c>
      <c r="F333">
        <v>2214740049</v>
      </c>
      <c r="G333" s="1" t="s">
        <v>56</v>
      </c>
      <c r="H333" s="1" t="s">
        <v>1413</v>
      </c>
      <c r="I333" s="1" t="s">
        <v>1087</v>
      </c>
      <c r="J333">
        <v>2066</v>
      </c>
      <c r="K333" s="1" t="str">
        <f>_xlfn.CONCAT(uslugi49[[#This Row],[ozn]:[nr]])</f>
        <v>NBRX708</v>
      </c>
      <c r="L333" s="1">
        <f>IF(VLOOKUP(uslugi49[[#This Row],[NIP]],nip_firm610[],2,FALSE)="BARTEX",1,0)</f>
        <v>0</v>
      </c>
    </row>
    <row r="334" spans="1:12" x14ac:dyDescent="0.25">
      <c r="A334" s="5" t="s">
        <v>892</v>
      </c>
      <c r="B334" s="6" t="s">
        <v>893</v>
      </c>
      <c r="C334" s="6" t="s">
        <v>894</v>
      </c>
      <c r="D334" s="7" t="s">
        <v>7</v>
      </c>
      <c r="F334">
        <v>1433397952</v>
      </c>
      <c r="G334" s="1" t="s">
        <v>314</v>
      </c>
      <c r="H334" s="1" t="s">
        <v>1414</v>
      </c>
      <c r="I334" s="1" t="s">
        <v>1087</v>
      </c>
      <c r="J334">
        <v>1626</v>
      </c>
      <c r="K334" s="1" t="str">
        <f>_xlfn.CONCAT(uslugi49[[#This Row],[ozn]:[nr]])</f>
        <v>PN16826</v>
      </c>
      <c r="L334" s="1">
        <f>IF(VLOOKUP(uslugi49[[#This Row],[NIP]],nip_firm610[],2,FALSE)="BARTEX",1,0)</f>
        <v>1</v>
      </c>
    </row>
    <row r="335" spans="1:12" x14ac:dyDescent="0.25">
      <c r="A335" s="2" t="s">
        <v>895</v>
      </c>
      <c r="B335" s="3" t="s">
        <v>896</v>
      </c>
      <c r="C335" s="3" t="s">
        <v>896</v>
      </c>
      <c r="D335" s="4" t="s">
        <v>22</v>
      </c>
      <c r="F335">
        <v>4326751508</v>
      </c>
      <c r="G335" s="1" t="s">
        <v>255</v>
      </c>
      <c r="H335" s="1" t="s">
        <v>1415</v>
      </c>
      <c r="I335" s="1" t="s">
        <v>1087</v>
      </c>
      <c r="J335">
        <v>1601</v>
      </c>
      <c r="K335" s="1" t="str">
        <f>_xlfn.CONCAT(uslugi49[[#This Row],[ozn]:[nr]])</f>
        <v>DJE46467</v>
      </c>
      <c r="L335" s="1">
        <f>IF(VLOOKUP(uslugi49[[#This Row],[NIP]],nip_firm610[],2,FALSE)="BARTEX",1,0)</f>
        <v>0</v>
      </c>
    </row>
    <row r="336" spans="1:12" x14ac:dyDescent="0.25">
      <c r="A336" s="5" t="s">
        <v>897</v>
      </c>
      <c r="B336" s="6" t="s">
        <v>898</v>
      </c>
      <c r="C336" s="6" t="s">
        <v>896</v>
      </c>
      <c r="D336" s="7" t="s">
        <v>7</v>
      </c>
      <c r="F336">
        <v>1433397952</v>
      </c>
      <c r="G336" s="1" t="s">
        <v>314</v>
      </c>
      <c r="H336" s="1" t="s">
        <v>1416</v>
      </c>
      <c r="I336" s="1" t="s">
        <v>1087</v>
      </c>
      <c r="J336">
        <v>2865</v>
      </c>
      <c r="K336" s="1" t="str">
        <f>_xlfn.CONCAT(uslugi49[[#This Row],[ozn]:[nr]])</f>
        <v>PN16824</v>
      </c>
      <c r="L336" s="1">
        <f>IF(VLOOKUP(uslugi49[[#This Row],[NIP]],nip_firm610[],2,FALSE)="BARTEX",1,0)</f>
        <v>1</v>
      </c>
    </row>
    <row r="337" spans="1:12" x14ac:dyDescent="0.25">
      <c r="A337" s="2" t="s">
        <v>899</v>
      </c>
      <c r="B337" s="3" t="s">
        <v>900</v>
      </c>
      <c r="C337" s="3" t="s">
        <v>901</v>
      </c>
      <c r="D337" s="4" t="s">
        <v>7</v>
      </c>
      <c r="F337">
        <v>2281651150</v>
      </c>
      <c r="G337" s="1" t="s">
        <v>552</v>
      </c>
      <c r="H337" s="1" t="s">
        <v>1417</v>
      </c>
      <c r="I337" s="1" t="s">
        <v>1081</v>
      </c>
      <c r="J337">
        <v>2136</v>
      </c>
      <c r="K337" s="1" t="str">
        <f>_xlfn.CONCAT(uslugi49[[#This Row],[ozn]:[nr]])</f>
        <v>NOLJ646</v>
      </c>
      <c r="L337" s="1">
        <f>IF(VLOOKUP(uslugi49[[#This Row],[NIP]],nip_firm610[],2,FALSE)="BARTEX",1,0)</f>
        <v>0</v>
      </c>
    </row>
    <row r="338" spans="1:12" x14ac:dyDescent="0.25">
      <c r="A338" s="5" t="s">
        <v>902</v>
      </c>
      <c r="B338" s="6" t="s">
        <v>903</v>
      </c>
      <c r="C338" s="6" t="s">
        <v>904</v>
      </c>
      <c r="D338" s="7" t="s">
        <v>7</v>
      </c>
      <c r="F338">
        <v>5581610439</v>
      </c>
      <c r="G338" s="1" t="s">
        <v>602</v>
      </c>
      <c r="H338" s="1" t="s">
        <v>1418</v>
      </c>
      <c r="I338" s="1" t="s">
        <v>1087</v>
      </c>
      <c r="J338">
        <v>2316</v>
      </c>
      <c r="K338" s="1" t="str">
        <f>_xlfn.CONCAT(uslugi49[[#This Row],[ozn]:[nr]])</f>
        <v>SPIO750</v>
      </c>
      <c r="L338" s="1">
        <f>IF(VLOOKUP(uslugi49[[#This Row],[NIP]],nip_firm610[],2,FALSE)="BARTEX",1,0)</f>
        <v>0</v>
      </c>
    </row>
    <row r="339" spans="1:12" x14ac:dyDescent="0.25">
      <c r="A339" s="2" t="s">
        <v>905</v>
      </c>
      <c r="B339" s="3" t="s">
        <v>906</v>
      </c>
      <c r="C339" s="3" t="s">
        <v>907</v>
      </c>
      <c r="D339" s="4" t="s">
        <v>7</v>
      </c>
    </row>
    <row r="340" spans="1:12" x14ac:dyDescent="0.25">
      <c r="A340" s="5" t="s">
        <v>908</v>
      </c>
      <c r="B340" s="6" t="s">
        <v>909</v>
      </c>
      <c r="C340" s="6" t="s">
        <v>909</v>
      </c>
      <c r="D340" s="7" t="s">
        <v>22</v>
      </c>
    </row>
    <row r="341" spans="1:12" x14ac:dyDescent="0.25">
      <c r="A341" s="2" t="s">
        <v>910</v>
      </c>
      <c r="B341" s="3" t="s">
        <v>911</v>
      </c>
      <c r="C341" s="3" t="s">
        <v>909</v>
      </c>
      <c r="D341" s="4" t="s">
        <v>7</v>
      </c>
    </row>
    <row r="342" spans="1:12" x14ac:dyDescent="0.25">
      <c r="A342" s="5" t="s">
        <v>912</v>
      </c>
      <c r="B342" s="6" t="s">
        <v>913</v>
      </c>
      <c r="C342" s="6" t="s">
        <v>914</v>
      </c>
      <c r="D342" s="7" t="s">
        <v>7</v>
      </c>
    </row>
    <row r="343" spans="1:12" x14ac:dyDescent="0.25">
      <c r="A343" s="2" t="s">
        <v>915</v>
      </c>
      <c r="B343" s="3" t="s">
        <v>916</v>
      </c>
      <c r="C343" s="3" t="s">
        <v>917</v>
      </c>
      <c r="D343" s="4" t="s">
        <v>918</v>
      </c>
    </row>
    <row r="344" spans="1:12" x14ac:dyDescent="0.25">
      <c r="A344" s="5" t="s">
        <v>919</v>
      </c>
      <c r="B344" s="6" t="s">
        <v>916</v>
      </c>
      <c r="C344" s="6" t="s">
        <v>920</v>
      </c>
      <c r="D344" s="7" t="s">
        <v>918</v>
      </c>
    </row>
    <row r="345" spans="1:12" x14ac:dyDescent="0.25">
      <c r="A345" s="2" t="s">
        <v>921</v>
      </c>
      <c r="B345" s="3" t="s">
        <v>916</v>
      </c>
      <c r="C345" s="3" t="s">
        <v>922</v>
      </c>
      <c r="D345" s="4" t="s">
        <v>918</v>
      </c>
    </row>
    <row r="346" spans="1:12" x14ac:dyDescent="0.25">
      <c r="A346" s="5" t="s">
        <v>923</v>
      </c>
      <c r="B346" s="6" t="s">
        <v>916</v>
      </c>
      <c r="C346" s="6" t="s">
        <v>924</v>
      </c>
      <c r="D346" s="7" t="s">
        <v>918</v>
      </c>
    </row>
    <row r="347" spans="1:12" x14ac:dyDescent="0.25">
      <c r="A347" s="2" t="s">
        <v>925</v>
      </c>
      <c r="B347" s="3" t="s">
        <v>916</v>
      </c>
      <c r="C347" s="3" t="s">
        <v>926</v>
      </c>
      <c r="D347" s="4" t="s">
        <v>918</v>
      </c>
    </row>
    <row r="348" spans="1:12" x14ac:dyDescent="0.25">
      <c r="A348" s="5" t="s">
        <v>927</v>
      </c>
      <c r="B348" s="6" t="s">
        <v>916</v>
      </c>
      <c r="C348" s="6" t="s">
        <v>928</v>
      </c>
      <c r="D348" s="7" t="s">
        <v>918</v>
      </c>
    </row>
    <row r="349" spans="1:12" x14ac:dyDescent="0.25">
      <c r="A349" s="2" t="s">
        <v>929</v>
      </c>
      <c r="B349" s="3" t="s">
        <v>916</v>
      </c>
      <c r="C349" s="3" t="s">
        <v>930</v>
      </c>
      <c r="D349" s="4" t="s">
        <v>918</v>
      </c>
    </row>
    <row r="350" spans="1:12" x14ac:dyDescent="0.25">
      <c r="A350" s="5" t="s">
        <v>931</v>
      </c>
      <c r="B350" s="6" t="s">
        <v>916</v>
      </c>
      <c r="C350" s="6" t="s">
        <v>932</v>
      </c>
      <c r="D350" s="7" t="s">
        <v>918</v>
      </c>
    </row>
    <row r="351" spans="1:12" x14ac:dyDescent="0.25">
      <c r="A351" s="2" t="s">
        <v>933</v>
      </c>
      <c r="B351" s="3" t="s">
        <v>916</v>
      </c>
      <c r="C351" s="3" t="s">
        <v>934</v>
      </c>
      <c r="D351" s="4" t="s">
        <v>918</v>
      </c>
    </row>
    <row r="352" spans="1:12" x14ac:dyDescent="0.25">
      <c r="A352" s="5" t="s">
        <v>935</v>
      </c>
      <c r="B352" s="6" t="s">
        <v>916</v>
      </c>
      <c r="C352" s="6" t="s">
        <v>936</v>
      </c>
      <c r="D352" s="7" t="s">
        <v>918</v>
      </c>
    </row>
    <row r="353" spans="1:4" x14ac:dyDescent="0.25">
      <c r="A353" s="2" t="s">
        <v>937</v>
      </c>
      <c r="B353" s="3" t="s">
        <v>916</v>
      </c>
      <c r="C353" s="3" t="s">
        <v>938</v>
      </c>
      <c r="D353" s="4" t="s">
        <v>918</v>
      </c>
    </row>
    <row r="354" spans="1:4" x14ac:dyDescent="0.25">
      <c r="A354" s="5" t="s">
        <v>939</v>
      </c>
      <c r="B354" s="6" t="s">
        <v>916</v>
      </c>
      <c r="C354" s="6" t="s">
        <v>940</v>
      </c>
      <c r="D354" s="7" t="s">
        <v>918</v>
      </c>
    </row>
    <row r="355" spans="1:4" x14ac:dyDescent="0.25">
      <c r="A355" s="2" t="s">
        <v>941</v>
      </c>
      <c r="B355" s="3" t="s">
        <v>916</v>
      </c>
      <c r="C355" s="3" t="s">
        <v>942</v>
      </c>
      <c r="D355" s="4" t="s">
        <v>918</v>
      </c>
    </row>
    <row r="356" spans="1:4" x14ac:dyDescent="0.25">
      <c r="A356" s="5" t="s">
        <v>943</v>
      </c>
      <c r="B356" s="6" t="s">
        <v>916</v>
      </c>
      <c r="C356" s="6" t="s">
        <v>944</v>
      </c>
      <c r="D356" s="7" t="s">
        <v>918</v>
      </c>
    </row>
    <row r="357" spans="1:4" x14ac:dyDescent="0.25">
      <c r="A357" s="2" t="s">
        <v>945</v>
      </c>
      <c r="B357" s="3" t="s">
        <v>916</v>
      </c>
      <c r="C357" s="3" t="s">
        <v>944</v>
      </c>
      <c r="D357" s="4" t="s">
        <v>918</v>
      </c>
    </row>
    <row r="358" spans="1:4" x14ac:dyDescent="0.25">
      <c r="A358" s="5" t="s">
        <v>946</v>
      </c>
      <c r="B358" s="6" t="s">
        <v>916</v>
      </c>
      <c r="C358" s="6" t="s">
        <v>944</v>
      </c>
      <c r="D358" s="7" t="s">
        <v>918</v>
      </c>
    </row>
    <row r="359" spans="1:4" x14ac:dyDescent="0.25">
      <c r="A359" s="2" t="s">
        <v>947</v>
      </c>
      <c r="B359" s="3" t="s">
        <v>916</v>
      </c>
      <c r="C359" s="3" t="s">
        <v>944</v>
      </c>
      <c r="D359" s="4" t="s">
        <v>918</v>
      </c>
    </row>
    <row r="360" spans="1:4" x14ac:dyDescent="0.25">
      <c r="A360" s="5" t="s">
        <v>948</v>
      </c>
      <c r="B360" s="6" t="s">
        <v>916</v>
      </c>
      <c r="C360" s="6" t="s">
        <v>949</v>
      </c>
      <c r="D360" s="7" t="s">
        <v>918</v>
      </c>
    </row>
    <row r="361" spans="1:4" x14ac:dyDescent="0.25">
      <c r="A361" s="2" t="s">
        <v>950</v>
      </c>
      <c r="B361" s="3" t="s">
        <v>916</v>
      </c>
      <c r="C361" s="3" t="s">
        <v>949</v>
      </c>
      <c r="D361" s="4" t="s">
        <v>918</v>
      </c>
    </row>
    <row r="362" spans="1:4" x14ac:dyDescent="0.25">
      <c r="A362" s="5" t="s">
        <v>951</v>
      </c>
      <c r="B362" s="6" t="s">
        <v>916</v>
      </c>
      <c r="C362" s="6" t="s">
        <v>949</v>
      </c>
      <c r="D362" s="7" t="s">
        <v>918</v>
      </c>
    </row>
    <row r="363" spans="1:4" x14ac:dyDescent="0.25">
      <c r="A363" s="2" t="s">
        <v>952</v>
      </c>
      <c r="B363" s="3" t="s">
        <v>916</v>
      </c>
      <c r="C363" s="3" t="s">
        <v>949</v>
      </c>
      <c r="D363" s="4" t="s">
        <v>918</v>
      </c>
    </row>
    <row r="364" spans="1:4" x14ac:dyDescent="0.25">
      <c r="A364" s="5" t="s">
        <v>953</v>
      </c>
      <c r="B364" s="6" t="s">
        <v>916</v>
      </c>
      <c r="C364" s="6" t="s">
        <v>949</v>
      </c>
      <c r="D364" s="7" t="s">
        <v>918</v>
      </c>
    </row>
    <row r="365" spans="1:4" x14ac:dyDescent="0.25">
      <c r="A365" s="2" t="s">
        <v>954</v>
      </c>
      <c r="B365" s="3" t="s">
        <v>916</v>
      </c>
      <c r="C365" s="3" t="s">
        <v>949</v>
      </c>
      <c r="D365" s="4" t="s">
        <v>918</v>
      </c>
    </row>
    <row r="366" spans="1:4" x14ac:dyDescent="0.25">
      <c r="A366" s="5" t="s">
        <v>955</v>
      </c>
      <c r="B366" s="6" t="s">
        <v>916</v>
      </c>
      <c r="C366" s="6" t="s">
        <v>949</v>
      </c>
      <c r="D366" s="7" t="s">
        <v>918</v>
      </c>
    </row>
    <row r="367" spans="1:4" x14ac:dyDescent="0.25">
      <c r="A367" s="2" t="s">
        <v>956</v>
      </c>
      <c r="B367" s="3" t="s">
        <v>916</v>
      </c>
      <c r="C367" s="3" t="s">
        <v>957</v>
      </c>
      <c r="D367" s="4" t="s">
        <v>918</v>
      </c>
    </row>
    <row r="368" spans="1:4" x14ac:dyDescent="0.25">
      <c r="A368" s="5" t="s">
        <v>958</v>
      </c>
      <c r="B368" s="6" t="s">
        <v>916</v>
      </c>
      <c r="C368" s="6" t="s">
        <v>959</v>
      </c>
      <c r="D368" s="7" t="s">
        <v>918</v>
      </c>
    </row>
    <row r="369" spans="1:4" x14ac:dyDescent="0.25">
      <c r="A369" s="2" t="s">
        <v>960</v>
      </c>
      <c r="B369" s="3" t="s">
        <v>961</v>
      </c>
      <c r="C369" s="3" t="s">
        <v>962</v>
      </c>
      <c r="D369" s="4" t="s">
        <v>7</v>
      </c>
    </row>
    <row r="370" spans="1:4" x14ac:dyDescent="0.25">
      <c r="A370" s="5" t="s">
        <v>963</v>
      </c>
      <c r="B370" s="6" t="s">
        <v>964</v>
      </c>
      <c r="C370" s="6" t="s">
        <v>965</v>
      </c>
      <c r="D370" s="7" t="s">
        <v>7</v>
      </c>
    </row>
    <row r="371" spans="1:4" x14ac:dyDescent="0.25">
      <c r="A371" s="2" t="s">
        <v>966</v>
      </c>
      <c r="B371" s="3" t="s">
        <v>967</v>
      </c>
      <c r="C371" s="3" t="s">
        <v>968</v>
      </c>
      <c r="D371" s="4" t="s">
        <v>7</v>
      </c>
    </row>
    <row r="372" spans="1:4" x14ac:dyDescent="0.25">
      <c r="A372" s="5" t="s">
        <v>969</v>
      </c>
      <c r="B372" s="6" t="s">
        <v>970</v>
      </c>
      <c r="C372" s="6" t="s">
        <v>971</v>
      </c>
      <c r="D372" s="7" t="s">
        <v>7</v>
      </c>
    </row>
    <row r="373" spans="1:4" x14ac:dyDescent="0.25">
      <c r="A373" s="2" t="s">
        <v>972</v>
      </c>
      <c r="B373" s="3" t="s">
        <v>973</v>
      </c>
      <c r="C373" s="3" t="s">
        <v>974</v>
      </c>
      <c r="D373" s="4" t="s">
        <v>7</v>
      </c>
    </row>
    <row r="374" spans="1:4" x14ac:dyDescent="0.25">
      <c r="A374" s="5" t="s">
        <v>975</v>
      </c>
      <c r="B374" s="6" t="s">
        <v>976</v>
      </c>
      <c r="C374" s="6" t="s">
        <v>977</v>
      </c>
      <c r="D374" s="7" t="s">
        <v>7</v>
      </c>
    </row>
    <row r="375" spans="1:4" x14ac:dyDescent="0.25">
      <c r="A375" s="2" t="s">
        <v>978</v>
      </c>
      <c r="B375" s="3" t="s">
        <v>979</v>
      </c>
      <c r="C375" s="3" t="s">
        <v>980</v>
      </c>
      <c r="D375" s="4" t="s">
        <v>7</v>
      </c>
    </row>
    <row r="376" spans="1:4" x14ac:dyDescent="0.25">
      <c r="A376" s="5" t="s">
        <v>981</v>
      </c>
      <c r="B376" s="6" t="s">
        <v>982</v>
      </c>
      <c r="C376" s="6" t="s">
        <v>982</v>
      </c>
      <c r="D376" s="7" t="s">
        <v>22</v>
      </c>
    </row>
    <row r="377" spans="1:4" x14ac:dyDescent="0.25">
      <c r="A377" s="2" t="s">
        <v>983</v>
      </c>
      <c r="B377" s="3" t="s">
        <v>984</v>
      </c>
      <c r="C377" s="3" t="s">
        <v>982</v>
      </c>
      <c r="D377" s="4" t="s">
        <v>7</v>
      </c>
    </row>
    <row r="378" spans="1:4" x14ac:dyDescent="0.25">
      <c r="A378" s="5" t="s">
        <v>985</v>
      </c>
      <c r="B378" s="6" t="s">
        <v>986</v>
      </c>
      <c r="C378" s="6" t="s">
        <v>987</v>
      </c>
      <c r="D378" s="7" t="s">
        <v>7</v>
      </c>
    </row>
    <row r="379" spans="1:4" x14ac:dyDescent="0.25">
      <c r="A379" s="2" t="s">
        <v>988</v>
      </c>
      <c r="B379" s="3" t="s">
        <v>989</v>
      </c>
      <c r="C379" s="3" t="s">
        <v>990</v>
      </c>
      <c r="D379" s="4" t="s">
        <v>7</v>
      </c>
    </row>
    <row r="380" spans="1:4" x14ac:dyDescent="0.25">
      <c r="A380" s="5" t="s">
        <v>991</v>
      </c>
      <c r="B380" s="6" t="s">
        <v>992</v>
      </c>
      <c r="C380" s="6" t="s">
        <v>993</v>
      </c>
      <c r="D380" s="7" t="s">
        <v>7</v>
      </c>
    </row>
    <row r="381" spans="1:4" x14ac:dyDescent="0.25">
      <c r="A381" s="2" t="s">
        <v>994</v>
      </c>
      <c r="B381" s="3" t="s">
        <v>995</v>
      </c>
      <c r="C381" s="3" t="s">
        <v>996</v>
      </c>
      <c r="D381" s="4" t="s">
        <v>7</v>
      </c>
    </row>
    <row r="382" spans="1:4" x14ac:dyDescent="0.25">
      <c r="A382" s="5" t="s">
        <v>997</v>
      </c>
      <c r="B382" s="6" t="s">
        <v>998</v>
      </c>
      <c r="C382" s="6" t="s">
        <v>999</v>
      </c>
      <c r="D382" s="7" t="s">
        <v>7</v>
      </c>
    </row>
    <row r="383" spans="1:4" x14ac:dyDescent="0.25">
      <c r="A383" s="2" t="s">
        <v>1000</v>
      </c>
      <c r="B383" s="3" t="s">
        <v>1001</v>
      </c>
      <c r="C383" s="3" t="s">
        <v>1002</v>
      </c>
      <c r="D383" s="4" t="s">
        <v>7</v>
      </c>
    </row>
    <row r="384" spans="1:4" x14ac:dyDescent="0.25">
      <c r="A384" s="5" t="s">
        <v>1003</v>
      </c>
      <c r="B384" s="6" t="s">
        <v>1004</v>
      </c>
      <c r="C384" s="6" t="s">
        <v>1004</v>
      </c>
      <c r="D384" s="7" t="s">
        <v>22</v>
      </c>
    </row>
    <row r="385" spans="1:4" x14ac:dyDescent="0.25">
      <c r="A385" s="2" t="s">
        <v>1005</v>
      </c>
      <c r="B385" s="3" t="s">
        <v>1006</v>
      </c>
      <c r="C385" s="3" t="s">
        <v>1004</v>
      </c>
      <c r="D385" s="4" t="s">
        <v>7</v>
      </c>
    </row>
    <row r="386" spans="1:4" x14ac:dyDescent="0.25">
      <c r="A386" s="5" t="s">
        <v>1007</v>
      </c>
      <c r="B386" s="6" t="s">
        <v>1008</v>
      </c>
      <c r="C386" s="6" t="s">
        <v>1009</v>
      </c>
      <c r="D386" s="7" t="s">
        <v>7</v>
      </c>
    </row>
    <row r="387" spans="1:4" x14ac:dyDescent="0.25">
      <c r="A387" s="2" t="s">
        <v>1010</v>
      </c>
      <c r="B387" s="3" t="s">
        <v>1011</v>
      </c>
      <c r="C387" s="3" t="s">
        <v>1012</v>
      </c>
      <c r="D387" s="4" t="s">
        <v>7</v>
      </c>
    </row>
    <row r="388" spans="1:4" x14ac:dyDescent="0.25">
      <c r="A388" s="5" t="s">
        <v>1013</v>
      </c>
      <c r="B388" s="6" t="s">
        <v>1014</v>
      </c>
      <c r="C388" s="6" t="s">
        <v>1015</v>
      </c>
      <c r="D388" s="7" t="s">
        <v>7</v>
      </c>
    </row>
    <row r="389" spans="1:4" x14ac:dyDescent="0.25">
      <c r="A389" s="2" t="s">
        <v>1016</v>
      </c>
      <c r="B389" s="3" t="s">
        <v>1017</v>
      </c>
      <c r="C389" s="3" t="s">
        <v>1018</v>
      </c>
      <c r="D389" s="4" t="s">
        <v>7</v>
      </c>
    </row>
    <row r="390" spans="1:4" x14ac:dyDescent="0.25">
      <c r="A390" s="5" t="s">
        <v>1019</v>
      </c>
      <c r="B390" s="6" t="s">
        <v>1020</v>
      </c>
      <c r="C390" s="6" t="s">
        <v>1021</v>
      </c>
      <c r="D390" s="7" t="s">
        <v>7</v>
      </c>
    </row>
    <row r="391" spans="1:4" x14ac:dyDescent="0.25">
      <c r="A391" s="2" t="s">
        <v>1022</v>
      </c>
      <c r="B391" s="3" t="s">
        <v>1023</v>
      </c>
      <c r="C391" s="3" t="s">
        <v>1023</v>
      </c>
      <c r="D391" s="4" t="s">
        <v>22</v>
      </c>
    </row>
    <row r="392" spans="1:4" x14ac:dyDescent="0.25">
      <c r="A392" s="5" t="s">
        <v>1024</v>
      </c>
      <c r="B392" s="6" t="s">
        <v>1025</v>
      </c>
      <c r="C392" s="6" t="s">
        <v>1026</v>
      </c>
      <c r="D392" s="7" t="s">
        <v>7</v>
      </c>
    </row>
    <row r="393" spans="1:4" x14ac:dyDescent="0.25">
      <c r="A393" s="2" t="s">
        <v>1027</v>
      </c>
      <c r="B393" s="3" t="s">
        <v>1028</v>
      </c>
      <c r="C393" s="3" t="s">
        <v>1029</v>
      </c>
      <c r="D393" s="4" t="s">
        <v>7</v>
      </c>
    </row>
    <row r="394" spans="1:4" x14ac:dyDescent="0.25">
      <c r="A394" s="5" t="s">
        <v>1030</v>
      </c>
      <c r="B394" s="6" t="s">
        <v>1031</v>
      </c>
      <c r="C394" s="6" t="s">
        <v>1032</v>
      </c>
      <c r="D394" s="7" t="s">
        <v>7</v>
      </c>
    </row>
    <row r="395" spans="1:4" x14ac:dyDescent="0.25">
      <c r="A395" s="2" t="s">
        <v>1033</v>
      </c>
      <c r="B395" s="3" t="s">
        <v>1032</v>
      </c>
      <c r="C395" s="3" t="s">
        <v>1032</v>
      </c>
      <c r="D395" s="4" t="s">
        <v>22</v>
      </c>
    </row>
    <row r="396" spans="1:4" x14ac:dyDescent="0.25">
      <c r="A396" s="5" t="s">
        <v>1034</v>
      </c>
      <c r="B396" s="6" t="s">
        <v>1035</v>
      </c>
      <c r="C396" s="6" t="s">
        <v>1036</v>
      </c>
      <c r="D396" s="7" t="s">
        <v>7</v>
      </c>
    </row>
    <row r="397" spans="1:4" x14ac:dyDescent="0.25">
      <c r="A397" s="2" t="s">
        <v>1037</v>
      </c>
      <c r="B397" s="3" t="s">
        <v>1038</v>
      </c>
      <c r="C397" s="3" t="s">
        <v>1039</v>
      </c>
      <c r="D397" s="4" t="s">
        <v>7</v>
      </c>
    </row>
    <row r="398" spans="1:4" x14ac:dyDescent="0.25">
      <c r="A398" s="5" t="s">
        <v>1040</v>
      </c>
      <c r="B398" s="6" t="s">
        <v>1041</v>
      </c>
      <c r="C398" s="6" t="s">
        <v>1042</v>
      </c>
      <c r="D398" s="7" t="s">
        <v>7</v>
      </c>
    </row>
    <row r="399" spans="1:4" x14ac:dyDescent="0.25">
      <c r="A399" s="2" t="s">
        <v>1043</v>
      </c>
      <c r="B399" s="3" t="s">
        <v>1044</v>
      </c>
      <c r="C399" s="3" t="s">
        <v>1045</v>
      </c>
      <c r="D399" s="4" t="s">
        <v>7</v>
      </c>
    </row>
    <row r="400" spans="1:4" x14ac:dyDescent="0.25">
      <c r="A400" s="5" t="s">
        <v>1046</v>
      </c>
      <c r="B400" s="6" t="s">
        <v>1047</v>
      </c>
      <c r="C400" s="6" t="s">
        <v>1048</v>
      </c>
      <c r="D400" s="7" t="s">
        <v>7</v>
      </c>
    </row>
    <row r="401" spans="1:4" x14ac:dyDescent="0.25">
      <c r="A401" s="2" t="s">
        <v>1049</v>
      </c>
      <c r="B401" s="3" t="s">
        <v>1050</v>
      </c>
      <c r="C401" s="3" t="s">
        <v>1050</v>
      </c>
      <c r="D401" s="4" t="s">
        <v>22</v>
      </c>
    </row>
    <row r="402" spans="1:4" x14ac:dyDescent="0.25">
      <c r="A402" s="5" t="s">
        <v>1051</v>
      </c>
      <c r="B402" s="6" t="s">
        <v>1052</v>
      </c>
      <c r="C402" s="6" t="s">
        <v>1050</v>
      </c>
      <c r="D402" s="7" t="s">
        <v>7</v>
      </c>
    </row>
    <row r="403" spans="1:4" x14ac:dyDescent="0.25">
      <c r="A403" s="2" t="s">
        <v>1053</v>
      </c>
      <c r="B403" s="3" t="s">
        <v>1054</v>
      </c>
      <c r="C403" s="3" t="s">
        <v>1055</v>
      </c>
      <c r="D403" s="4" t="s">
        <v>7</v>
      </c>
    </row>
    <row r="404" spans="1:4" x14ac:dyDescent="0.25">
      <c r="A404" s="5" t="s">
        <v>1056</v>
      </c>
      <c r="B404" s="6" t="s">
        <v>1057</v>
      </c>
      <c r="C404" s="6" t="s">
        <v>1058</v>
      </c>
      <c r="D404" s="7" t="s">
        <v>7</v>
      </c>
    </row>
    <row r="405" spans="1:4" x14ac:dyDescent="0.25">
      <c r="A405" s="2" t="s">
        <v>1059</v>
      </c>
      <c r="B405" s="3" t="s">
        <v>1060</v>
      </c>
      <c r="C405" s="3" t="s">
        <v>1061</v>
      </c>
      <c r="D405" s="4" t="s">
        <v>7</v>
      </c>
    </row>
    <row r="406" spans="1:4" x14ac:dyDescent="0.25">
      <c r="A406" s="5" t="s">
        <v>1062</v>
      </c>
      <c r="B406" s="6" t="s">
        <v>1063</v>
      </c>
      <c r="C406" s="6" t="s">
        <v>1063</v>
      </c>
      <c r="D406" s="7" t="s">
        <v>22</v>
      </c>
    </row>
    <row r="407" spans="1:4" x14ac:dyDescent="0.25">
      <c r="A407" s="2" t="s">
        <v>1064</v>
      </c>
      <c r="B407" s="3" t="s">
        <v>1065</v>
      </c>
      <c r="C407" s="3" t="s">
        <v>1066</v>
      </c>
      <c r="D407" s="4" t="s">
        <v>7</v>
      </c>
    </row>
    <row r="408" spans="1:4" x14ac:dyDescent="0.25">
      <c r="A408" s="5" t="s">
        <v>1067</v>
      </c>
      <c r="B408" s="6" t="s">
        <v>1068</v>
      </c>
      <c r="C408" s="6" t="s">
        <v>1069</v>
      </c>
      <c r="D408" s="7" t="s">
        <v>7</v>
      </c>
    </row>
    <row r="409" spans="1:4" x14ac:dyDescent="0.25">
      <c r="A409" s="2" t="s">
        <v>1070</v>
      </c>
      <c r="B409" s="3" t="s">
        <v>1071</v>
      </c>
      <c r="C409" s="3" t="s">
        <v>1072</v>
      </c>
      <c r="D409" s="4" t="s">
        <v>7</v>
      </c>
    </row>
    <row r="410" spans="1:4" x14ac:dyDescent="0.25">
      <c r="A410" s="5" t="s">
        <v>1073</v>
      </c>
      <c r="B410" s="6" t="s">
        <v>1074</v>
      </c>
      <c r="C410" s="6" t="s">
        <v>1075</v>
      </c>
      <c r="D410" s="7" t="s">
        <v>7</v>
      </c>
    </row>
  </sheetData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8D1D-E7B5-4C27-A2E7-E2B18AA0341B}">
  <dimension ref="A1:R410"/>
  <sheetViews>
    <sheetView workbookViewId="0">
      <selection activeCell="Q3" sqref="Q3:R4"/>
    </sheetView>
  </sheetViews>
  <sheetFormatPr defaultRowHeight="15" x14ac:dyDescent="0.25"/>
  <cols>
    <col min="1" max="1" width="8.28515625" bestFit="1" customWidth="1"/>
    <col min="2" max="3" width="22.85546875" bestFit="1" customWidth="1"/>
    <col min="4" max="4" width="6.42578125" bestFit="1" customWidth="1"/>
    <col min="6" max="6" width="11" bestFit="1" customWidth="1"/>
    <col min="7" max="7" width="6.42578125" bestFit="1" customWidth="1"/>
    <col min="8" max="8" width="7.5703125" bestFit="1" customWidth="1"/>
    <col min="9" max="9" width="15" bestFit="1" customWidth="1"/>
    <col min="10" max="10" width="6.7109375" bestFit="1" customWidth="1"/>
    <col min="11" max="11" width="21.42578125" bestFit="1" customWidth="1"/>
    <col min="12" max="12" width="11" bestFit="1" customWidth="1"/>
    <col min="13" max="13" width="21.42578125" bestFit="1" customWidth="1"/>
    <col min="14" max="14" width="11" bestFit="1" customWidth="1"/>
    <col min="15" max="15" width="21.42578125" bestFit="1" customWidth="1"/>
    <col min="17" max="17" width="17.7109375" bestFit="1" customWidth="1"/>
    <col min="18" max="18" width="17.5703125" bestFit="1" customWidth="1"/>
  </cols>
  <sheetData>
    <row r="1" spans="1:18" x14ac:dyDescent="0.25">
      <c r="A1" s="2" t="s">
        <v>0</v>
      </c>
      <c r="B1" s="3" t="s">
        <v>1</v>
      </c>
      <c r="C1" s="3" t="s">
        <v>2</v>
      </c>
      <c r="D1" s="4" t="s">
        <v>3</v>
      </c>
      <c r="F1" t="s">
        <v>1076</v>
      </c>
      <c r="G1" t="s">
        <v>0</v>
      </c>
      <c r="H1" t="s">
        <v>1077</v>
      </c>
      <c r="I1" t="s">
        <v>1078</v>
      </c>
      <c r="J1" t="s">
        <v>1079</v>
      </c>
      <c r="K1" t="s">
        <v>1503</v>
      </c>
      <c r="L1" t="s">
        <v>1504</v>
      </c>
      <c r="N1" t="s">
        <v>1076</v>
      </c>
      <c r="O1" t="s">
        <v>1419</v>
      </c>
      <c r="Q1" s="8" t="s">
        <v>1078</v>
      </c>
      <c r="R1" t="s">
        <v>1081</v>
      </c>
    </row>
    <row r="2" spans="1:18" x14ac:dyDescent="0.25">
      <c r="A2" s="5" t="s">
        <v>4</v>
      </c>
      <c r="B2" s="6" t="s">
        <v>5</v>
      </c>
      <c r="C2" s="6" t="s">
        <v>6</v>
      </c>
      <c r="D2" s="7" t="s">
        <v>7</v>
      </c>
      <c r="F2">
        <v>6727559092</v>
      </c>
      <c r="G2" s="1" t="s">
        <v>869</v>
      </c>
      <c r="H2" s="1" t="s">
        <v>1080</v>
      </c>
      <c r="I2" s="1" t="s">
        <v>1081</v>
      </c>
      <c r="J2">
        <v>1240</v>
      </c>
      <c r="K2" s="1" t="str">
        <f>VLOOKUP(uslugi411[[#This Row],[NIP]],nip_firm612[],2,FALSE)</f>
        <v>ANDROPOL SP. Z. O. O.</v>
      </c>
      <c r="L2" s="1" t="str">
        <f>_xlfn.CONCAT(uslugi411[[#This Row],[ozn]:[nr]])</f>
        <v>KTA323W</v>
      </c>
      <c r="N2">
        <v>2394072755</v>
      </c>
      <c r="O2" s="1" t="s">
        <v>1420</v>
      </c>
    </row>
    <row r="3" spans="1:18" x14ac:dyDescent="0.25">
      <c r="A3" s="2" t="s">
        <v>8</v>
      </c>
      <c r="B3" s="3" t="s">
        <v>9</v>
      </c>
      <c r="C3" s="3" t="s">
        <v>10</v>
      </c>
      <c r="D3" s="4" t="s">
        <v>7</v>
      </c>
      <c r="F3">
        <v>3866883575</v>
      </c>
      <c r="G3" s="1" t="s">
        <v>434</v>
      </c>
      <c r="H3" s="1" t="s">
        <v>1082</v>
      </c>
      <c r="I3" s="1" t="s">
        <v>1081</v>
      </c>
      <c r="J3">
        <v>3022</v>
      </c>
      <c r="K3" s="1" t="str">
        <f>VLOOKUP(uslugi411[[#This Row],[NIP]],nip_firm612[],2,FALSE)</f>
        <v>KPICO</v>
      </c>
      <c r="L3" s="1" t="str">
        <f>_xlfn.CONCAT(uslugi411[[#This Row],[ozn]:[nr]])</f>
        <v>LU16794</v>
      </c>
      <c r="N3">
        <v>1599095267</v>
      </c>
      <c r="O3" s="1" t="s">
        <v>1421</v>
      </c>
      <c r="Q3" s="13" t="s">
        <v>1505</v>
      </c>
      <c r="R3" s="13" t="s">
        <v>1506</v>
      </c>
    </row>
    <row r="4" spans="1:18" x14ac:dyDescent="0.25">
      <c r="A4" s="5" t="s">
        <v>11</v>
      </c>
      <c r="B4" s="6" t="s">
        <v>12</v>
      </c>
      <c r="C4" s="6" t="s">
        <v>13</v>
      </c>
      <c r="D4" s="7" t="s">
        <v>7</v>
      </c>
      <c r="F4">
        <v>1165493421</v>
      </c>
      <c r="G4" s="1" t="s">
        <v>14</v>
      </c>
      <c r="H4" s="1" t="s">
        <v>1083</v>
      </c>
      <c r="I4" s="1" t="s">
        <v>1081</v>
      </c>
      <c r="J4">
        <v>1770</v>
      </c>
      <c r="K4" s="1" t="str">
        <f>VLOOKUP(uslugi411[[#This Row],[NIP]],nip_firm612[],2,FALSE)</f>
        <v>LESZNO</v>
      </c>
      <c r="L4" s="1" t="str">
        <f>_xlfn.CONCAT(uslugi411[[#This Row],[ozn]:[nr]])</f>
        <v>SBELL545</v>
      </c>
      <c r="N4">
        <v>5341884086</v>
      </c>
      <c r="O4" s="1" t="s">
        <v>1422</v>
      </c>
      <c r="Q4" s="11" t="s">
        <v>1445</v>
      </c>
      <c r="R4" s="12">
        <v>13</v>
      </c>
    </row>
    <row r="5" spans="1:18" x14ac:dyDescent="0.25">
      <c r="A5" s="2" t="s">
        <v>14</v>
      </c>
      <c r="B5" s="3" t="s">
        <v>15</v>
      </c>
      <c r="C5" s="3" t="s">
        <v>16</v>
      </c>
      <c r="D5" s="4" t="s">
        <v>7</v>
      </c>
      <c r="F5">
        <v>2138598159</v>
      </c>
      <c r="G5" s="1" t="s">
        <v>143</v>
      </c>
      <c r="H5" s="1" t="s">
        <v>1084</v>
      </c>
      <c r="I5" s="1" t="s">
        <v>1081</v>
      </c>
      <c r="J5">
        <v>2272</v>
      </c>
      <c r="K5" s="1" t="str">
        <f>VLOOKUP(uslugi411[[#This Row],[NIP]],nip_firm612[],2,FALSE)</f>
        <v>METALL</v>
      </c>
      <c r="L5" s="1" t="str">
        <f>_xlfn.CONCAT(uslugi411[[#This Row],[ozn]:[nr]])</f>
        <v>NELL584</v>
      </c>
      <c r="N5">
        <v>1818291355</v>
      </c>
      <c r="O5" s="1" t="s">
        <v>1423</v>
      </c>
      <c r="Q5" s="9" t="s">
        <v>1481</v>
      </c>
      <c r="R5" s="1">
        <v>13</v>
      </c>
    </row>
    <row r="6" spans="1:18" x14ac:dyDescent="0.25">
      <c r="A6" s="5" t="s">
        <v>17</v>
      </c>
      <c r="B6" s="6" t="s">
        <v>18</v>
      </c>
      <c r="C6" s="6" t="s">
        <v>19</v>
      </c>
      <c r="D6" s="7" t="s">
        <v>7</v>
      </c>
      <c r="F6">
        <v>1617995032</v>
      </c>
      <c r="G6" s="1" t="s">
        <v>892</v>
      </c>
      <c r="H6" s="1" t="s">
        <v>1085</v>
      </c>
      <c r="I6" s="1" t="s">
        <v>1081</v>
      </c>
      <c r="J6">
        <v>2253</v>
      </c>
      <c r="K6" s="1" t="str">
        <f>VLOOKUP(uslugi411[[#This Row],[NIP]],nip_firm612[],2,FALSE)</f>
        <v>RENOWATOR</v>
      </c>
      <c r="L6" s="1" t="str">
        <f>_xlfn.CONCAT(uslugi411[[#This Row],[ozn]:[nr]])</f>
        <v>PTU6R13</v>
      </c>
      <c r="N6">
        <v>1361555378</v>
      </c>
      <c r="O6" s="1" t="s">
        <v>1424</v>
      </c>
    </row>
    <row r="7" spans="1:18" x14ac:dyDescent="0.25">
      <c r="A7" s="2" t="s">
        <v>20</v>
      </c>
      <c r="B7" s="3" t="s">
        <v>21</v>
      </c>
      <c r="C7" s="3" t="s">
        <v>21</v>
      </c>
      <c r="D7" s="4" t="s">
        <v>22</v>
      </c>
      <c r="F7">
        <v>2625657803</v>
      </c>
      <c r="G7" s="1" t="s">
        <v>14</v>
      </c>
      <c r="H7" s="1" t="s">
        <v>1086</v>
      </c>
      <c r="I7" s="1" t="s">
        <v>1087</v>
      </c>
      <c r="J7">
        <v>2349</v>
      </c>
      <c r="K7" s="1" t="str">
        <f>VLOOKUP(uslugi411[[#This Row],[NIP]],nip_firm612[],2,FALSE)</f>
        <v>SUWAL</v>
      </c>
      <c r="L7" s="1" t="str">
        <f>_xlfn.CONCAT(uslugi411[[#This Row],[ozn]:[nr]])</f>
        <v>SBEU48HH</v>
      </c>
      <c r="N7">
        <v>2869229213</v>
      </c>
      <c r="O7" s="1" t="s">
        <v>1425</v>
      </c>
    </row>
    <row r="8" spans="1:18" x14ac:dyDescent="0.25">
      <c r="A8" s="5" t="s">
        <v>23</v>
      </c>
      <c r="B8" s="6" t="s">
        <v>24</v>
      </c>
      <c r="C8" s="6" t="s">
        <v>25</v>
      </c>
      <c r="D8" s="7" t="s">
        <v>7</v>
      </c>
      <c r="F8">
        <v>6758177505</v>
      </c>
      <c r="G8" s="1" t="s">
        <v>869</v>
      </c>
      <c r="H8" s="1" t="s">
        <v>1088</v>
      </c>
      <c r="I8" s="1" t="s">
        <v>1087</v>
      </c>
      <c r="J8">
        <v>2154</v>
      </c>
      <c r="K8" s="1" t="str">
        <f>VLOOKUP(uslugi411[[#This Row],[NIP]],nip_firm612[],2,FALSE)</f>
        <v>WERTIX</v>
      </c>
      <c r="L8" s="1" t="str">
        <f>_xlfn.CONCAT(uslugi411[[#This Row],[ozn]:[nr]])</f>
        <v>KTA468L</v>
      </c>
      <c r="N8">
        <v>5528435390</v>
      </c>
      <c r="O8" s="1" t="s">
        <v>1426</v>
      </c>
    </row>
    <row r="9" spans="1:18" x14ac:dyDescent="0.25">
      <c r="A9" s="2" t="s">
        <v>26</v>
      </c>
      <c r="B9" s="3" t="s">
        <v>27</v>
      </c>
      <c r="C9" s="3" t="s">
        <v>28</v>
      </c>
      <c r="D9" s="4" t="s">
        <v>7</v>
      </c>
      <c r="F9">
        <v>4531538788</v>
      </c>
      <c r="G9" s="1" t="s">
        <v>14</v>
      </c>
      <c r="H9" s="1" t="s">
        <v>1089</v>
      </c>
      <c r="I9" s="1" t="s">
        <v>1081</v>
      </c>
      <c r="J9">
        <v>2385</v>
      </c>
      <c r="K9" s="1" t="str">
        <f>VLOOKUP(uslugi411[[#This Row],[NIP]],nip_firm612[],2,FALSE)</f>
        <v>TRZEBNICA</v>
      </c>
      <c r="L9" s="1" t="str">
        <f>_xlfn.CONCAT(uslugi411[[#This Row],[ozn]:[nr]])</f>
        <v>SBETE554</v>
      </c>
      <c r="N9">
        <v>2625657803</v>
      </c>
      <c r="O9" s="1" t="s">
        <v>1427</v>
      </c>
    </row>
    <row r="10" spans="1:18" x14ac:dyDescent="0.25">
      <c r="A10" s="5" t="s">
        <v>29</v>
      </c>
      <c r="B10" s="6" t="s">
        <v>30</v>
      </c>
      <c r="C10" s="6" t="s">
        <v>31</v>
      </c>
      <c r="D10" s="7" t="s">
        <v>7</v>
      </c>
      <c r="F10">
        <v>2138598159</v>
      </c>
      <c r="G10" s="1" t="s">
        <v>143</v>
      </c>
      <c r="H10" s="1" t="s">
        <v>1090</v>
      </c>
      <c r="I10" s="1" t="s">
        <v>1087</v>
      </c>
      <c r="J10">
        <v>2370</v>
      </c>
      <c r="K10" s="1" t="str">
        <f>VLOOKUP(uslugi411[[#This Row],[NIP]],nip_firm612[],2,FALSE)</f>
        <v>METALL</v>
      </c>
      <c r="L10" s="1" t="str">
        <f>_xlfn.CONCAT(uslugi411[[#This Row],[ozn]:[nr]])</f>
        <v>NELO586</v>
      </c>
      <c r="N10">
        <v>1871447797</v>
      </c>
      <c r="O10" s="1" t="s">
        <v>1428</v>
      </c>
    </row>
    <row r="11" spans="1:18" x14ac:dyDescent="0.25">
      <c r="A11" s="2" t="s">
        <v>32</v>
      </c>
      <c r="B11" s="3" t="s">
        <v>33</v>
      </c>
      <c r="C11" s="3" t="s">
        <v>21</v>
      </c>
      <c r="D11" s="4" t="s">
        <v>7</v>
      </c>
      <c r="F11">
        <v>1818291355</v>
      </c>
      <c r="G11" s="1" t="s">
        <v>14</v>
      </c>
      <c r="H11" s="1" t="s">
        <v>1091</v>
      </c>
      <c r="I11" s="1" t="s">
        <v>1081</v>
      </c>
      <c r="J11">
        <v>1862</v>
      </c>
      <c r="K11" s="1" t="str">
        <f>VLOOKUP(uslugi411[[#This Row],[NIP]],nip_firm612[],2,FALSE)</f>
        <v>SZAMOT</v>
      </c>
      <c r="L11" s="1" t="str">
        <f>_xlfn.CONCAT(uslugi411[[#This Row],[ozn]:[nr]])</f>
        <v>SBEZ67OX</v>
      </c>
      <c r="N11">
        <v>4241680809</v>
      </c>
      <c r="O11" s="1" t="s">
        <v>1429</v>
      </c>
    </row>
    <row r="12" spans="1:18" x14ac:dyDescent="0.25">
      <c r="A12" s="5" t="s">
        <v>34</v>
      </c>
      <c r="B12" s="6" t="s">
        <v>31</v>
      </c>
      <c r="C12" s="6" t="s">
        <v>31</v>
      </c>
      <c r="D12" s="7" t="s">
        <v>22</v>
      </c>
      <c r="F12">
        <v>2599394621</v>
      </c>
      <c r="G12" s="1" t="s">
        <v>14</v>
      </c>
      <c r="H12" s="1" t="s">
        <v>1092</v>
      </c>
      <c r="I12" s="1" t="s">
        <v>1087</v>
      </c>
      <c r="J12">
        <v>2508</v>
      </c>
      <c r="K12" s="1" t="str">
        <f>VLOOKUP(uslugi411[[#This Row],[NIP]],nip_firm612[],2,FALSE)</f>
        <v>OLECKO</v>
      </c>
      <c r="L12" s="1" t="str">
        <f>_xlfn.CONCAT(uslugi411[[#This Row],[ozn]:[nr]])</f>
        <v>SBECD551</v>
      </c>
      <c r="N12">
        <v>3318203338</v>
      </c>
      <c r="O12" s="1" t="s">
        <v>1430</v>
      </c>
    </row>
    <row r="13" spans="1:18" x14ac:dyDescent="0.25">
      <c r="A13" s="2" t="s">
        <v>35</v>
      </c>
      <c r="B13" s="3" t="s">
        <v>36</v>
      </c>
      <c r="C13" s="3" t="s">
        <v>37</v>
      </c>
      <c r="D13" s="4" t="s">
        <v>7</v>
      </c>
      <c r="F13">
        <v>4653095092</v>
      </c>
      <c r="G13" s="1" t="s">
        <v>527</v>
      </c>
      <c r="H13" s="1" t="s">
        <v>1093</v>
      </c>
      <c r="I13" s="1" t="s">
        <v>1081</v>
      </c>
      <c r="J13">
        <v>2502</v>
      </c>
      <c r="K13" s="1" t="str">
        <f>VLOOKUP(uslugi411[[#This Row],[NIP]],nip_firm612[],2,FALSE)</f>
        <v>ZGORZELEC</v>
      </c>
      <c r="L13" s="1" t="str">
        <f>_xlfn.CONCAT(uslugi411[[#This Row],[ozn]:[nr]])</f>
        <v>ONY1234</v>
      </c>
      <c r="N13">
        <v>1524870307</v>
      </c>
      <c r="O13" s="1" t="s">
        <v>1431</v>
      </c>
    </row>
    <row r="14" spans="1:18" x14ac:dyDescent="0.25">
      <c r="A14" s="5" t="s">
        <v>38</v>
      </c>
      <c r="B14" s="6" t="s">
        <v>36</v>
      </c>
      <c r="C14" s="6" t="s">
        <v>39</v>
      </c>
      <c r="D14" s="7" t="s">
        <v>7</v>
      </c>
      <c r="F14">
        <v>5229945534</v>
      </c>
      <c r="G14" s="1" t="s">
        <v>14</v>
      </c>
      <c r="H14" s="1" t="s">
        <v>1094</v>
      </c>
      <c r="I14" s="1" t="s">
        <v>1087</v>
      </c>
      <c r="J14">
        <v>2674</v>
      </c>
      <c r="K14" s="1" t="str">
        <f>VLOOKUP(uslugi411[[#This Row],[NIP]],nip_firm612[],2,FALSE)</f>
        <v>TARNOR</v>
      </c>
      <c r="L14" s="1" t="str">
        <f>_xlfn.CONCAT(uslugi411[[#This Row],[ozn]:[nr]])</f>
        <v>SBEG38FY</v>
      </c>
      <c r="N14">
        <v>1581329071</v>
      </c>
      <c r="O14" s="1" t="s">
        <v>1432</v>
      </c>
    </row>
    <row r="15" spans="1:18" x14ac:dyDescent="0.25">
      <c r="A15" s="2" t="s">
        <v>40</v>
      </c>
      <c r="B15" s="3" t="s">
        <v>39</v>
      </c>
      <c r="C15" s="3" t="s">
        <v>39</v>
      </c>
      <c r="D15" s="4" t="s">
        <v>22</v>
      </c>
      <c r="F15">
        <v>3743661247</v>
      </c>
      <c r="G15" s="1" t="s">
        <v>14</v>
      </c>
      <c r="H15" s="1" t="s">
        <v>1095</v>
      </c>
      <c r="I15" s="1" t="s">
        <v>1087</v>
      </c>
      <c r="J15">
        <v>2176</v>
      </c>
      <c r="K15" s="1" t="str">
        <f>VLOOKUP(uslugi411[[#This Row],[NIP]],nip_firm612[],2,FALSE)</f>
        <v>ZWIERZYNIEC</v>
      </c>
      <c r="L15" s="1" t="str">
        <f>_xlfn.CONCAT(uslugi411[[#This Row],[ozn]:[nr]])</f>
        <v>SBEZ99ZO</v>
      </c>
      <c r="N15">
        <v>3114182744</v>
      </c>
      <c r="O15" s="1" t="s">
        <v>1433</v>
      </c>
    </row>
    <row r="16" spans="1:18" x14ac:dyDescent="0.25">
      <c r="A16" s="5" t="s">
        <v>41</v>
      </c>
      <c r="B16" s="6" t="s">
        <v>42</v>
      </c>
      <c r="C16" s="6" t="s">
        <v>43</v>
      </c>
      <c r="D16" s="7" t="s">
        <v>7</v>
      </c>
      <c r="F16">
        <v>4779174699</v>
      </c>
      <c r="G16" s="1" t="s">
        <v>1003</v>
      </c>
      <c r="H16" s="1" t="s">
        <v>1096</v>
      </c>
      <c r="I16" s="1" t="s">
        <v>1087</v>
      </c>
      <c r="J16">
        <v>1875</v>
      </c>
      <c r="K16" s="1" t="str">
        <f>VLOOKUP(uslugi411[[#This Row],[NIP]],nip_firm612[],2,FALSE)</f>
        <v>FASO</v>
      </c>
      <c r="L16" s="1" t="str">
        <f>_xlfn.CONCAT(uslugi411[[#This Row],[ozn]:[nr]])</f>
        <v>DW16852</v>
      </c>
      <c r="N16">
        <v>3743661247</v>
      </c>
      <c r="O16" s="1" t="s">
        <v>1434</v>
      </c>
    </row>
    <row r="17" spans="1:15" x14ac:dyDescent="0.25">
      <c r="A17" s="2" t="s">
        <v>44</v>
      </c>
      <c r="B17" s="3" t="s">
        <v>45</v>
      </c>
      <c r="C17" s="3" t="s">
        <v>46</v>
      </c>
      <c r="D17" s="4" t="s">
        <v>7</v>
      </c>
      <c r="F17">
        <v>4715154852</v>
      </c>
      <c r="G17" s="1" t="s">
        <v>1003</v>
      </c>
      <c r="H17" s="1" t="s">
        <v>1097</v>
      </c>
      <c r="I17" s="1" t="s">
        <v>1081</v>
      </c>
      <c r="J17">
        <v>2520</v>
      </c>
      <c r="K17" s="1" t="str">
        <f>VLOOKUP(uslugi411[[#This Row],[NIP]],nip_firm612[],2,FALSE)</f>
        <v>NAFTO-GAZ</v>
      </c>
      <c r="L17" s="1" t="str">
        <f>_xlfn.CONCAT(uslugi411[[#This Row],[ozn]:[nr]])</f>
        <v>DW23815</v>
      </c>
      <c r="N17">
        <v>5185759244</v>
      </c>
      <c r="O17" s="1" t="s">
        <v>1435</v>
      </c>
    </row>
    <row r="18" spans="1:15" x14ac:dyDescent="0.25">
      <c r="A18" s="5" t="s">
        <v>47</v>
      </c>
      <c r="B18" s="6" t="s">
        <v>48</v>
      </c>
      <c r="C18" s="6" t="s">
        <v>49</v>
      </c>
      <c r="D18" s="7" t="s">
        <v>7</v>
      </c>
      <c r="F18">
        <v>6758177505</v>
      </c>
      <c r="G18" s="1" t="s">
        <v>869</v>
      </c>
      <c r="H18" s="1" t="s">
        <v>1098</v>
      </c>
      <c r="I18" s="1" t="s">
        <v>1081</v>
      </c>
      <c r="J18">
        <v>2984</v>
      </c>
      <c r="K18" s="1" t="str">
        <f>VLOOKUP(uslugi411[[#This Row],[NIP]],nip_firm612[],2,FALSE)</f>
        <v>WERTIX</v>
      </c>
      <c r="L18" s="1" t="str">
        <f>_xlfn.CONCAT(uslugi411[[#This Row],[ozn]:[nr]])</f>
        <v>KTA545S</v>
      </c>
      <c r="N18">
        <v>5229945534</v>
      </c>
      <c r="O18" s="1" t="s">
        <v>1436</v>
      </c>
    </row>
    <row r="19" spans="1:15" x14ac:dyDescent="0.25">
      <c r="A19" s="2" t="s">
        <v>50</v>
      </c>
      <c r="B19" s="3" t="s">
        <v>51</v>
      </c>
      <c r="C19" s="3" t="s">
        <v>52</v>
      </c>
      <c r="D19" s="4" t="s">
        <v>7</v>
      </c>
      <c r="F19">
        <v>2581219876</v>
      </c>
      <c r="G19" s="1" t="s">
        <v>141</v>
      </c>
      <c r="H19" s="1" t="s">
        <v>1099</v>
      </c>
      <c r="I19" s="1" t="s">
        <v>1087</v>
      </c>
      <c r="J19">
        <v>2685</v>
      </c>
      <c r="K19" s="1" t="str">
        <f>VLOOKUP(uslugi411[[#This Row],[NIP]],nip_firm612[],2,FALSE)</f>
        <v>TECH-MASZ</v>
      </c>
      <c r="L19" s="1" t="str">
        <f>_xlfn.CONCAT(uslugi411[[#This Row],[ozn]:[nr]])</f>
        <v>NEB92NR</v>
      </c>
      <c r="N19">
        <v>5266741491</v>
      </c>
      <c r="O19" s="1" t="s">
        <v>1437</v>
      </c>
    </row>
    <row r="20" spans="1:15" x14ac:dyDescent="0.25">
      <c r="A20" s="5" t="s">
        <v>53</v>
      </c>
      <c r="B20" s="6" t="s">
        <v>54</v>
      </c>
      <c r="C20" s="6" t="s">
        <v>55</v>
      </c>
      <c r="D20" s="7" t="s">
        <v>7</v>
      </c>
      <c r="F20">
        <v>3568004264</v>
      </c>
      <c r="G20" s="1" t="s">
        <v>428</v>
      </c>
      <c r="H20" s="1" t="s">
        <v>1100</v>
      </c>
      <c r="I20" s="1" t="s">
        <v>1081</v>
      </c>
      <c r="J20">
        <v>2438</v>
      </c>
      <c r="K20" s="1" t="str">
        <f>VLOOKUP(uslugi411[[#This Row],[NIP]],nip_firm612[],2,FALSE)</f>
        <v>MURATOR</v>
      </c>
      <c r="L20" s="1" t="str">
        <f>_xlfn.CONCAT(uslugi411[[#This Row],[ozn]:[nr]])</f>
        <v>LUBQ624</v>
      </c>
      <c r="N20">
        <v>1246489959</v>
      </c>
      <c r="O20" s="1" t="s">
        <v>1438</v>
      </c>
    </row>
    <row r="21" spans="1:15" x14ac:dyDescent="0.25">
      <c r="A21" s="2" t="s">
        <v>56</v>
      </c>
      <c r="B21" s="3" t="s">
        <v>57</v>
      </c>
      <c r="C21" s="3" t="s">
        <v>58</v>
      </c>
      <c r="D21" s="4" t="s">
        <v>7</v>
      </c>
      <c r="F21">
        <v>6727559092</v>
      </c>
      <c r="G21" s="1" t="s">
        <v>869</v>
      </c>
      <c r="H21" s="1" t="s">
        <v>1101</v>
      </c>
      <c r="I21" s="1" t="s">
        <v>1087</v>
      </c>
      <c r="J21">
        <v>2435</v>
      </c>
      <c r="K21" s="1" t="str">
        <f>VLOOKUP(uslugi411[[#This Row],[NIP]],nip_firm612[],2,FALSE)</f>
        <v>ANDROPOL SP. Z. O. O.</v>
      </c>
      <c r="L21" s="1" t="str">
        <f>_xlfn.CONCAT(uslugi411[[#This Row],[ozn]:[nr]])</f>
        <v>KTA257G</v>
      </c>
      <c r="N21">
        <v>5418968184</v>
      </c>
      <c r="O21" s="1" t="s">
        <v>1439</v>
      </c>
    </row>
    <row r="22" spans="1:15" x14ac:dyDescent="0.25">
      <c r="A22" s="5" t="s">
        <v>59</v>
      </c>
      <c r="B22" s="6" t="s">
        <v>60</v>
      </c>
      <c r="C22" s="6" t="s">
        <v>61</v>
      </c>
      <c r="D22" s="7" t="s">
        <v>7</v>
      </c>
      <c r="F22">
        <v>5418968184</v>
      </c>
      <c r="G22" s="1" t="s">
        <v>14</v>
      </c>
      <c r="H22" s="1" t="s">
        <v>1102</v>
      </c>
      <c r="I22" s="1" t="s">
        <v>1081</v>
      </c>
      <c r="J22">
        <v>1806</v>
      </c>
      <c r="K22" s="1" t="str">
        <f>VLOOKUP(uslugi411[[#This Row],[NIP]],nip_firm612[],2,FALSE)</f>
        <v>SOSNEC</v>
      </c>
      <c r="L22" s="1" t="str">
        <f>_xlfn.CONCAT(uslugi411[[#This Row],[ozn]:[nr]])</f>
        <v>SBEO60RV</v>
      </c>
      <c r="N22">
        <v>1165493421</v>
      </c>
      <c r="O22" s="1" t="s">
        <v>1440</v>
      </c>
    </row>
    <row r="23" spans="1:15" x14ac:dyDescent="0.25">
      <c r="A23" s="2" t="s">
        <v>62</v>
      </c>
      <c r="B23" s="3" t="s">
        <v>63</v>
      </c>
      <c r="C23" s="3" t="s">
        <v>64</v>
      </c>
      <c r="D23" s="4" t="s">
        <v>7</v>
      </c>
      <c r="F23">
        <v>4956781088</v>
      </c>
      <c r="G23" s="1" t="s">
        <v>184</v>
      </c>
      <c r="H23" s="1" t="s">
        <v>1103</v>
      </c>
      <c r="I23" s="1" t="s">
        <v>1087</v>
      </c>
      <c r="J23">
        <v>2156</v>
      </c>
      <c r="K23" s="1" t="str">
        <f>VLOOKUP(uslugi411[[#This Row],[NIP]],nip_firm612[],2,FALSE)</f>
        <v>FERMILAB</v>
      </c>
      <c r="L23" s="1" t="str">
        <f>_xlfn.CONCAT(uslugi411[[#This Row],[ozn]:[nr]])</f>
        <v>DGRF718</v>
      </c>
      <c r="N23">
        <v>4580185570</v>
      </c>
      <c r="O23" s="1" t="s">
        <v>1441</v>
      </c>
    </row>
    <row r="24" spans="1:15" x14ac:dyDescent="0.25">
      <c r="A24" s="5" t="s">
        <v>65</v>
      </c>
      <c r="B24" s="6" t="s">
        <v>63</v>
      </c>
      <c r="C24" s="6" t="s">
        <v>66</v>
      </c>
      <c r="D24" s="7" t="s">
        <v>7</v>
      </c>
      <c r="F24">
        <v>5341884086</v>
      </c>
      <c r="G24" s="1" t="s">
        <v>14</v>
      </c>
      <c r="H24" s="1" t="s">
        <v>1104</v>
      </c>
      <c r="I24" s="1" t="s">
        <v>1087</v>
      </c>
      <c r="J24">
        <v>1908</v>
      </c>
      <c r="K24" s="1" t="str">
        <f>VLOOKUP(uslugi411[[#This Row],[NIP]],nip_firm612[],2,FALSE)</f>
        <v>SENIN</v>
      </c>
      <c r="L24" s="1" t="str">
        <f>_xlfn.CONCAT(uslugi411[[#This Row],[ozn]:[nr]])</f>
        <v>SBESA138</v>
      </c>
      <c r="N24">
        <v>2599394621</v>
      </c>
      <c r="O24" s="1" t="s">
        <v>1442</v>
      </c>
    </row>
    <row r="25" spans="1:15" x14ac:dyDescent="0.25">
      <c r="A25" s="2" t="s">
        <v>67</v>
      </c>
      <c r="B25" s="3" t="s">
        <v>68</v>
      </c>
      <c r="C25" s="3" t="s">
        <v>69</v>
      </c>
      <c r="D25" s="4" t="s">
        <v>7</v>
      </c>
      <c r="F25">
        <v>1939065269</v>
      </c>
      <c r="G25" s="1" t="s">
        <v>636</v>
      </c>
      <c r="H25" s="1" t="s">
        <v>1105</v>
      </c>
      <c r="I25" s="1" t="s">
        <v>1087</v>
      </c>
      <c r="J25">
        <v>3156</v>
      </c>
      <c r="K25" s="1" t="str">
        <f>VLOOKUP(uslugi411[[#This Row],[NIP]],nip_firm612[],2,FALSE)</f>
        <v>KUSTMASZ</v>
      </c>
      <c r="L25" s="1" t="str">
        <f>_xlfn.CONCAT(uslugi411[[#This Row],[ozn]:[nr]])</f>
        <v>PO16886</v>
      </c>
      <c r="N25">
        <v>4531538788</v>
      </c>
      <c r="O25" s="1" t="s">
        <v>1443</v>
      </c>
    </row>
    <row r="26" spans="1:15" x14ac:dyDescent="0.25">
      <c r="A26" s="5" t="s">
        <v>70</v>
      </c>
      <c r="B26" s="6" t="s">
        <v>71</v>
      </c>
      <c r="C26" s="6" t="s">
        <v>72</v>
      </c>
      <c r="D26" s="7" t="s">
        <v>7</v>
      </c>
      <c r="F26">
        <v>4715154852</v>
      </c>
      <c r="G26" s="1" t="s">
        <v>1003</v>
      </c>
      <c r="H26" s="1" t="s">
        <v>1106</v>
      </c>
      <c r="I26" s="1" t="s">
        <v>1081</v>
      </c>
      <c r="J26">
        <v>2276</v>
      </c>
      <c r="K26" s="1" t="str">
        <f>VLOOKUP(uslugi411[[#This Row],[NIP]],nip_firm612[],2,FALSE)</f>
        <v>NAFTO-GAZ</v>
      </c>
      <c r="L26" s="1" t="str">
        <f>_xlfn.CONCAT(uslugi411[[#This Row],[ozn]:[nr]])</f>
        <v>DW557F</v>
      </c>
      <c r="N26">
        <v>4458233905</v>
      </c>
      <c r="O26" s="1" t="s">
        <v>1444</v>
      </c>
    </row>
    <row r="27" spans="1:15" x14ac:dyDescent="0.25">
      <c r="A27" s="2" t="s">
        <v>73</v>
      </c>
      <c r="B27" s="3" t="s">
        <v>74</v>
      </c>
      <c r="C27" s="3" t="s">
        <v>75</v>
      </c>
      <c r="D27" s="4" t="s">
        <v>7</v>
      </c>
      <c r="F27">
        <v>5115061689</v>
      </c>
      <c r="G27" s="1" t="s">
        <v>704</v>
      </c>
      <c r="H27" s="1" t="s">
        <v>1107</v>
      </c>
      <c r="I27" s="1" t="s">
        <v>1087</v>
      </c>
      <c r="J27">
        <v>1627</v>
      </c>
      <c r="K27" s="1" t="str">
        <f>VLOOKUP(uslugi411[[#This Row],[NIP]],nip_firm612[],2,FALSE)</f>
        <v>BETON-STAL</v>
      </c>
      <c r="L27" s="1" t="str">
        <f>_xlfn.CONCAT(uslugi411[[#This Row],[ozn]:[nr]])</f>
        <v>SRSD662</v>
      </c>
      <c r="N27">
        <v>4326751508</v>
      </c>
      <c r="O27" s="1" t="s">
        <v>1445</v>
      </c>
    </row>
    <row r="28" spans="1:15" x14ac:dyDescent="0.25">
      <c r="A28" s="5" t="s">
        <v>76</v>
      </c>
      <c r="B28" s="6" t="s">
        <v>77</v>
      </c>
      <c r="C28" s="6" t="s">
        <v>78</v>
      </c>
      <c r="D28" s="7" t="s">
        <v>7</v>
      </c>
      <c r="F28">
        <v>4326751508</v>
      </c>
      <c r="G28" s="1" t="s">
        <v>40</v>
      </c>
      <c r="H28" s="1" t="s">
        <v>1108</v>
      </c>
      <c r="I28" s="1" t="s">
        <v>1087</v>
      </c>
      <c r="J28">
        <v>2060</v>
      </c>
      <c r="K28" s="1" t="str">
        <f>VLOOKUP(uslugi411[[#This Row],[NIP]],nip_firm612[],2,FALSE)</f>
        <v>WROCBUD2</v>
      </c>
      <c r="L28" s="1" t="str">
        <f>_xlfn.CONCAT(uslugi411[[#This Row],[ozn]:[nr]])</f>
        <v>SB55355</v>
      </c>
      <c r="N28">
        <v>4761158900</v>
      </c>
      <c r="O28" s="1" t="s">
        <v>1446</v>
      </c>
    </row>
    <row r="29" spans="1:15" x14ac:dyDescent="0.25">
      <c r="A29" s="2" t="s">
        <v>79</v>
      </c>
      <c r="B29" s="3" t="s">
        <v>78</v>
      </c>
      <c r="C29" s="3" t="s">
        <v>78</v>
      </c>
      <c r="D29" s="4" t="s">
        <v>22</v>
      </c>
      <c r="F29">
        <v>1581329071</v>
      </c>
      <c r="G29" s="1" t="s">
        <v>14</v>
      </c>
      <c r="H29" s="1" t="s">
        <v>1109</v>
      </c>
      <c r="I29" s="1" t="s">
        <v>1087</v>
      </c>
      <c r="J29">
        <v>2236</v>
      </c>
      <c r="K29" s="1" t="str">
        <f>VLOOKUP(uslugi411[[#This Row],[NIP]],nip_firm612[],2,FALSE)</f>
        <v>WRZESNIA1</v>
      </c>
      <c r="L29" s="1" t="str">
        <f>_xlfn.CONCAT(uslugi411[[#This Row],[ozn]:[nr]])</f>
        <v>SBEE93DN</v>
      </c>
      <c r="N29">
        <v>4653095092</v>
      </c>
      <c r="O29" s="1" t="s">
        <v>1447</v>
      </c>
    </row>
    <row r="30" spans="1:15" x14ac:dyDescent="0.25">
      <c r="A30" s="5" t="s">
        <v>80</v>
      </c>
      <c r="B30" s="6" t="s">
        <v>81</v>
      </c>
      <c r="C30" s="6" t="s">
        <v>81</v>
      </c>
      <c r="D30" s="7" t="s">
        <v>22</v>
      </c>
      <c r="F30">
        <v>4326751508</v>
      </c>
      <c r="G30" s="1" t="s">
        <v>40</v>
      </c>
      <c r="H30" s="1" t="s">
        <v>1110</v>
      </c>
      <c r="I30" s="1" t="s">
        <v>1081</v>
      </c>
      <c r="J30">
        <v>2000</v>
      </c>
      <c r="K30" s="1" t="str">
        <f>VLOOKUP(uslugi411[[#This Row],[NIP]],nip_firm612[],2,FALSE)</f>
        <v>WROCBUD2</v>
      </c>
      <c r="L30" s="1" t="str">
        <f>_xlfn.CONCAT(uslugi411[[#This Row],[ozn]:[nr]])</f>
        <v>SB56466</v>
      </c>
      <c r="N30">
        <v>3678947206</v>
      </c>
      <c r="O30" s="1" t="s">
        <v>1448</v>
      </c>
    </row>
    <row r="31" spans="1:15" x14ac:dyDescent="0.25">
      <c r="A31" s="2" t="s">
        <v>82</v>
      </c>
      <c r="B31" s="3" t="s">
        <v>83</v>
      </c>
      <c r="C31" s="3" t="s">
        <v>84</v>
      </c>
      <c r="D31" s="4" t="s">
        <v>7</v>
      </c>
      <c r="F31">
        <v>3470453173</v>
      </c>
      <c r="G31" s="1" t="s">
        <v>85</v>
      </c>
      <c r="H31" s="1" t="s">
        <v>1111</v>
      </c>
      <c r="I31" s="1" t="s">
        <v>1081</v>
      </c>
      <c r="J31">
        <v>2040</v>
      </c>
      <c r="K31" s="1" t="str">
        <f>VLOOKUP(uslugi411[[#This Row],[NIP]],nip_firm612[],2,FALSE)</f>
        <v>MASPOL</v>
      </c>
      <c r="L31" s="1" t="str">
        <f>_xlfn.CONCAT(uslugi411[[#This Row],[ozn]:[nr]])</f>
        <v>LC7895G</v>
      </c>
      <c r="N31">
        <v>2245871126</v>
      </c>
      <c r="O31" s="1" t="s">
        <v>1449</v>
      </c>
    </row>
    <row r="32" spans="1:15" x14ac:dyDescent="0.25">
      <c r="A32" s="5" t="s">
        <v>85</v>
      </c>
      <c r="B32" s="6" t="s">
        <v>86</v>
      </c>
      <c r="C32" s="6" t="s">
        <v>86</v>
      </c>
      <c r="D32" s="7" t="s">
        <v>22</v>
      </c>
      <c r="F32">
        <v>1433397952</v>
      </c>
      <c r="G32" s="1" t="s">
        <v>314</v>
      </c>
      <c r="H32" s="1" t="s">
        <v>1112</v>
      </c>
      <c r="I32" s="1" t="s">
        <v>1087</v>
      </c>
      <c r="J32">
        <v>2734</v>
      </c>
      <c r="K32" s="1" t="str">
        <f>VLOOKUP(uslugi411[[#This Row],[NIP]],nip_firm612[],2,FALSE)</f>
        <v>BARTEX</v>
      </c>
      <c r="L32" s="1" t="str">
        <f>_xlfn.CONCAT(uslugi411[[#This Row],[ozn]:[nr]])</f>
        <v>PN16832</v>
      </c>
      <c r="N32">
        <v>5459753232</v>
      </c>
      <c r="O32" s="1" t="s">
        <v>1450</v>
      </c>
    </row>
    <row r="33" spans="1:15" x14ac:dyDescent="0.25">
      <c r="A33" s="2" t="s">
        <v>87</v>
      </c>
      <c r="B33" s="3" t="s">
        <v>88</v>
      </c>
      <c r="C33" s="3" t="s">
        <v>89</v>
      </c>
      <c r="D33" s="4" t="s">
        <v>7</v>
      </c>
      <c r="F33">
        <v>3783578981</v>
      </c>
      <c r="G33" s="1" t="s">
        <v>405</v>
      </c>
      <c r="H33" s="1" t="s">
        <v>1113</v>
      </c>
      <c r="I33" s="1" t="s">
        <v>1081</v>
      </c>
      <c r="J33">
        <v>1935</v>
      </c>
      <c r="K33" s="1" t="str">
        <f>VLOOKUP(uslugi411[[#This Row],[NIP]],nip_firm612[],2,FALSE)</f>
        <v>LUBEX</v>
      </c>
      <c r="L33" s="1" t="str">
        <f>_xlfn.CONCAT(uslugi411[[#This Row],[ozn]:[nr]])</f>
        <v>EL28920</v>
      </c>
      <c r="N33">
        <v>5514533376</v>
      </c>
      <c r="O33" s="1" t="s">
        <v>1451</v>
      </c>
    </row>
    <row r="34" spans="1:15" x14ac:dyDescent="0.25">
      <c r="A34" s="5" t="s">
        <v>90</v>
      </c>
      <c r="B34" s="6" t="s">
        <v>91</v>
      </c>
      <c r="C34" s="6" t="s">
        <v>86</v>
      </c>
      <c r="D34" s="7" t="s">
        <v>7</v>
      </c>
      <c r="F34">
        <v>2581219876</v>
      </c>
      <c r="G34" s="1" t="s">
        <v>141</v>
      </c>
      <c r="H34" s="1" t="s">
        <v>1114</v>
      </c>
      <c r="I34" s="1" t="s">
        <v>1087</v>
      </c>
      <c r="J34">
        <v>2818</v>
      </c>
      <c r="K34" s="1" t="str">
        <f>VLOOKUP(uslugi411[[#This Row],[NIP]],nip_firm612[],2,FALSE)</f>
        <v>TECH-MASZ</v>
      </c>
      <c r="L34" s="1" t="str">
        <f>_xlfn.CONCAT(uslugi411[[#This Row],[ozn]:[nr]])</f>
        <v>NEB90HD</v>
      </c>
      <c r="N34">
        <v>1820566794</v>
      </c>
      <c r="O34" s="1" t="s">
        <v>1452</v>
      </c>
    </row>
    <row r="35" spans="1:15" x14ac:dyDescent="0.25">
      <c r="A35" s="2" t="s">
        <v>92</v>
      </c>
      <c r="B35" s="3" t="s">
        <v>93</v>
      </c>
      <c r="C35" s="3" t="s">
        <v>94</v>
      </c>
      <c r="D35" s="4" t="s">
        <v>7</v>
      </c>
      <c r="F35">
        <v>4796841112</v>
      </c>
      <c r="G35" s="1" t="s">
        <v>533</v>
      </c>
      <c r="H35" s="1" t="s">
        <v>1115</v>
      </c>
      <c r="I35" s="1" t="s">
        <v>1081</v>
      </c>
      <c r="J35">
        <v>2668</v>
      </c>
      <c r="K35" s="1" t="str">
        <f>VLOOKUP(uslugi411[[#This Row],[NIP]],nip_firm612[],2,FALSE)</f>
        <v>WARM S. A.</v>
      </c>
      <c r="L35" s="1" t="str">
        <f>_xlfn.CONCAT(uslugi411[[#This Row],[ozn]:[nr]])</f>
        <v>DOAR672</v>
      </c>
      <c r="N35">
        <v>3783578981</v>
      </c>
      <c r="O35" s="1" t="s">
        <v>1453</v>
      </c>
    </row>
    <row r="36" spans="1:15" x14ac:dyDescent="0.25">
      <c r="A36" s="5" t="s">
        <v>95</v>
      </c>
      <c r="B36" s="6" t="s">
        <v>96</v>
      </c>
      <c r="C36" s="6" t="s">
        <v>97</v>
      </c>
      <c r="D36" s="7" t="s">
        <v>7</v>
      </c>
      <c r="F36">
        <v>4715154852</v>
      </c>
      <c r="G36" s="1" t="s">
        <v>1003</v>
      </c>
      <c r="H36" s="1" t="s">
        <v>1116</v>
      </c>
      <c r="I36" s="1" t="s">
        <v>1087</v>
      </c>
      <c r="J36">
        <v>2700</v>
      </c>
      <c r="K36" s="1" t="str">
        <f>VLOOKUP(uslugi411[[#This Row],[NIP]],nip_firm612[],2,FALSE)</f>
        <v>NAFTO-GAZ</v>
      </c>
      <c r="L36" s="1" t="str">
        <f>_xlfn.CONCAT(uslugi411[[#This Row],[ozn]:[nr]])</f>
        <v>DW23411</v>
      </c>
      <c r="N36">
        <v>1127056356</v>
      </c>
      <c r="O36" s="1" t="s">
        <v>1454</v>
      </c>
    </row>
    <row r="37" spans="1:15" x14ac:dyDescent="0.25">
      <c r="A37" s="2" t="s">
        <v>98</v>
      </c>
      <c r="B37" s="3" t="s">
        <v>99</v>
      </c>
      <c r="C37" s="3" t="s">
        <v>99</v>
      </c>
      <c r="D37" s="4" t="s">
        <v>22</v>
      </c>
      <c r="F37">
        <v>4241680809</v>
      </c>
      <c r="G37" s="1" t="s">
        <v>14</v>
      </c>
      <c r="H37" s="1" t="s">
        <v>1117</v>
      </c>
      <c r="I37" s="1" t="s">
        <v>1087</v>
      </c>
      <c r="J37">
        <v>2496</v>
      </c>
      <c r="K37" s="1" t="str">
        <f>VLOOKUP(uslugi411[[#This Row],[NIP]],nip_firm612[],2,FALSE)</f>
        <v>WROCBUD4</v>
      </c>
      <c r="L37" s="1" t="str">
        <f>_xlfn.CONCAT(uslugi411[[#This Row],[ozn]:[nr]])</f>
        <v>SBERF346</v>
      </c>
      <c r="N37">
        <v>1278408463</v>
      </c>
      <c r="O37" s="1" t="s">
        <v>1455</v>
      </c>
    </row>
    <row r="38" spans="1:15" x14ac:dyDescent="0.25">
      <c r="A38" s="5" t="s">
        <v>100</v>
      </c>
      <c r="B38" s="6" t="s">
        <v>101</v>
      </c>
      <c r="C38" s="6" t="s">
        <v>102</v>
      </c>
      <c r="D38" s="7" t="s">
        <v>7</v>
      </c>
      <c r="F38">
        <v>1617995032</v>
      </c>
      <c r="G38" s="1" t="s">
        <v>892</v>
      </c>
      <c r="H38" s="1" t="s">
        <v>1118</v>
      </c>
      <c r="I38" s="1" t="s">
        <v>1087</v>
      </c>
      <c r="J38">
        <v>2148</v>
      </c>
      <c r="K38" s="1" t="str">
        <f>VLOOKUP(uslugi411[[#This Row],[NIP]],nip_firm612[],2,FALSE)</f>
        <v>RENOWATOR</v>
      </c>
      <c r="L38" s="1" t="str">
        <f>_xlfn.CONCAT(uslugi411[[#This Row],[ozn]:[nr]])</f>
        <v>PTU54PX</v>
      </c>
      <c r="N38">
        <v>3866883575</v>
      </c>
      <c r="O38" s="1" t="s">
        <v>1456</v>
      </c>
    </row>
    <row r="39" spans="1:15" x14ac:dyDescent="0.25">
      <c r="A39" s="2" t="s">
        <v>103</v>
      </c>
      <c r="B39" s="3" t="s">
        <v>104</v>
      </c>
      <c r="C39" s="3" t="s">
        <v>105</v>
      </c>
      <c r="D39" s="4" t="s">
        <v>7</v>
      </c>
      <c r="F39">
        <v>1433397952</v>
      </c>
      <c r="G39" s="1" t="s">
        <v>314</v>
      </c>
      <c r="H39" s="1" t="s">
        <v>1119</v>
      </c>
      <c r="I39" s="1" t="s">
        <v>1081</v>
      </c>
      <c r="J39">
        <v>2160</v>
      </c>
      <c r="K39" s="1" t="str">
        <f>VLOOKUP(uslugi411[[#This Row],[NIP]],nip_firm612[],2,FALSE)</f>
        <v>BARTEX</v>
      </c>
      <c r="L39" s="1" t="str">
        <f>_xlfn.CONCAT(uslugi411[[#This Row],[ozn]:[nr]])</f>
        <v>PN16838</v>
      </c>
      <c r="N39">
        <v>2138598159</v>
      </c>
      <c r="O39" s="1" t="s">
        <v>1457</v>
      </c>
    </row>
    <row r="40" spans="1:15" x14ac:dyDescent="0.25">
      <c r="A40" s="5" t="s">
        <v>106</v>
      </c>
      <c r="B40" s="6" t="s">
        <v>107</v>
      </c>
      <c r="C40" s="6" t="s">
        <v>108</v>
      </c>
      <c r="D40" s="7" t="s">
        <v>7</v>
      </c>
      <c r="F40">
        <v>4326751508</v>
      </c>
      <c r="G40" s="1" t="s">
        <v>405</v>
      </c>
      <c r="H40" s="1" t="s">
        <v>1120</v>
      </c>
      <c r="I40" s="1" t="s">
        <v>1087</v>
      </c>
      <c r="J40">
        <v>2056</v>
      </c>
      <c r="K40" s="1" t="str">
        <f>VLOOKUP(uslugi411[[#This Row],[NIP]],nip_firm612[],2,FALSE)</f>
        <v>WROCBUD2</v>
      </c>
      <c r="L40" s="1" t="str">
        <f>_xlfn.CONCAT(uslugi411[[#This Row],[ozn]:[nr]])</f>
        <v>EL69798</v>
      </c>
      <c r="N40">
        <v>2119268767</v>
      </c>
      <c r="O40" s="1" t="s">
        <v>1458</v>
      </c>
    </row>
    <row r="41" spans="1:15" x14ac:dyDescent="0.25">
      <c r="A41" s="2" t="s">
        <v>109</v>
      </c>
      <c r="B41" s="3" t="s">
        <v>110</v>
      </c>
      <c r="C41" s="3" t="s">
        <v>111</v>
      </c>
      <c r="D41" s="4" t="s">
        <v>7</v>
      </c>
      <c r="F41">
        <v>1246489959</v>
      </c>
      <c r="G41" s="1" t="s">
        <v>14</v>
      </c>
      <c r="H41" s="1" t="s">
        <v>1121</v>
      </c>
      <c r="I41" s="1" t="s">
        <v>1087</v>
      </c>
      <c r="J41">
        <v>1812</v>
      </c>
      <c r="K41" s="1" t="str">
        <f>VLOOKUP(uslugi411[[#This Row],[NIP]],nip_firm612[],2,FALSE)</f>
        <v>MIEDZYRZECZ</v>
      </c>
      <c r="L41" s="1" t="str">
        <f>_xlfn.CONCAT(uslugi411[[#This Row],[ozn]:[nr]])</f>
        <v>SBEM52XG</v>
      </c>
      <c r="N41">
        <v>1433397952</v>
      </c>
      <c r="O41" s="1" t="s">
        <v>1459</v>
      </c>
    </row>
    <row r="42" spans="1:15" x14ac:dyDescent="0.25">
      <c r="A42" s="5" t="s">
        <v>112</v>
      </c>
      <c r="B42" s="6" t="s">
        <v>113</v>
      </c>
      <c r="C42" s="6" t="s">
        <v>114</v>
      </c>
      <c r="D42" s="7" t="s">
        <v>7</v>
      </c>
      <c r="F42">
        <v>4241680809</v>
      </c>
      <c r="G42" s="1" t="s">
        <v>14</v>
      </c>
      <c r="H42" s="1" t="s">
        <v>1122</v>
      </c>
      <c r="I42" s="1" t="s">
        <v>1087</v>
      </c>
      <c r="J42">
        <v>2664</v>
      </c>
      <c r="K42" s="1" t="str">
        <f>VLOOKUP(uslugi411[[#This Row],[NIP]],nip_firm612[],2,FALSE)</f>
        <v>WROCBUD4</v>
      </c>
      <c r="L42" s="1" t="str">
        <f>_xlfn.CONCAT(uslugi411[[#This Row],[ozn]:[nr]])</f>
        <v>SBERJ349</v>
      </c>
      <c r="N42">
        <v>3568004264</v>
      </c>
      <c r="O42" s="1" t="s">
        <v>1460</v>
      </c>
    </row>
    <row r="43" spans="1:15" x14ac:dyDescent="0.25">
      <c r="A43" s="2" t="s">
        <v>115</v>
      </c>
      <c r="B43" s="3" t="s">
        <v>116</v>
      </c>
      <c r="C43" s="3" t="s">
        <v>116</v>
      </c>
      <c r="D43" s="4" t="s">
        <v>22</v>
      </c>
      <c r="F43">
        <v>3470453173</v>
      </c>
      <c r="G43" s="1" t="s">
        <v>85</v>
      </c>
      <c r="H43" s="1" t="s">
        <v>1123</v>
      </c>
      <c r="I43" s="1" t="s">
        <v>1087</v>
      </c>
      <c r="J43">
        <v>2872</v>
      </c>
      <c r="K43" s="1" t="str">
        <f>VLOOKUP(uslugi411[[#This Row],[NIP]],nip_firm612[],2,FALSE)</f>
        <v>MASPOL</v>
      </c>
      <c r="L43" s="1" t="str">
        <f>_xlfn.CONCAT(uslugi411[[#This Row],[ozn]:[nr]])</f>
        <v>LC34568</v>
      </c>
      <c r="N43">
        <v>4779174699</v>
      </c>
      <c r="O43" s="1" t="s">
        <v>1461</v>
      </c>
    </row>
    <row r="44" spans="1:15" x14ac:dyDescent="0.25">
      <c r="A44" s="5" t="s">
        <v>117</v>
      </c>
      <c r="B44" s="6" t="s">
        <v>118</v>
      </c>
      <c r="C44" s="6" t="s">
        <v>116</v>
      </c>
      <c r="D44" s="7" t="s">
        <v>7</v>
      </c>
      <c r="F44">
        <v>3568004264</v>
      </c>
      <c r="G44" s="1" t="s">
        <v>428</v>
      </c>
      <c r="H44" s="1" t="s">
        <v>1124</v>
      </c>
      <c r="I44" s="1" t="s">
        <v>1087</v>
      </c>
      <c r="J44">
        <v>1928</v>
      </c>
      <c r="K44" s="1" t="str">
        <f>VLOOKUP(uslugi411[[#This Row],[NIP]],nip_firm612[],2,FALSE)</f>
        <v>MURATOR</v>
      </c>
      <c r="L44" s="1" t="str">
        <f>_xlfn.CONCAT(uslugi411[[#This Row],[ozn]:[nr]])</f>
        <v>LUBE630</v>
      </c>
      <c r="N44">
        <v>3357631311</v>
      </c>
      <c r="O44" s="1" t="s">
        <v>1462</v>
      </c>
    </row>
    <row r="45" spans="1:15" x14ac:dyDescent="0.25">
      <c r="A45" s="2" t="s">
        <v>119</v>
      </c>
      <c r="B45" s="3" t="s">
        <v>120</v>
      </c>
      <c r="C45" s="3" t="s">
        <v>121</v>
      </c>
      <c r="D45" s="4" t="s">
        <v>7</v>
      </c>
      <c r="F45">
        <v>1617995032</v>
      </c>
      <c r="G45" s="1" t="s">
        <v>892</v>
      </c>
      <c r="H45" s="1" t="s">
        <v>1125</v>
      </c>
      <c r="I45" s="1" t="s">
        <v>1087</v>
      </c>
      <c r="J45">
        <v>2194</v>
      </c>
      <c r="K45" s="1" t="str">
        <f>VLOOKUP(uslugi411[[#This Row],[NIP]],nip_firm612[],2,FALSE)</f>
        <v>RENOWATOR</v>
      </c>
      <c r="L45" s="1" t="str">
        <f>_xlfn.CONCAT(uslugi411[[#This Row],[ozn]:[nr]])</f>
        <v>PTU7D14</v>
      </c>
      <c r="N45">
        <v>2281651150</v>
      </c>
      <c r="O45" s="1" t="s">
        <v>1463</v>
      </c>
    </row>
    <row r="46" spans="1:15" x14ac:dyDescent="0.25">
      <c r="A46" s="5" t="s">
        <v>122</v>
      </c>
      <c r="B46" s="6" t="s">
        <v>123</v>
      </c>
      <c r="C46" s="6" t="s">
        <v>123</v>
      </c>
      <c r="D46" s="7" t="s">
        <v>22</v>
      </c>
      <c r="F46">
        <v>2119268767</v>
      </c>
      <c r="G46" s="1" t="s">
        <v>141</v>
      </c>
      <c r="H46" s="1" t="s">
        <v>1126</v>
      </c>
      <c r="I46" s="1" t="s">
        <v>1087</v>
      </c>
      <c r="J46">
        <v>2114</v>
      </c>
      <c r="K46" s="1" t="str">
        <f>VLOOKUP(uslugi411[[#This Row],[NIP]],nip_firm612[],2,FALSE)</f>
        <v>PETROLEUM</v>
      </c>
      <c r="L46" s="1" t="str">
        <f>_xlfn.CONCAT(uslugi411[[#This Row],[ozn]:[nr]])</f>
        <v>NEB55CS</v>
      </c>
      <c r="N46">
        <v>1939065269</v>
      </c>
      <c r="O46" s="1" t="s">
        <v>1464</v>
      </c>
    </row>
    <row r="47" spans="1:15" x14ac:dyDescent="0.25">
      <c r="A47" s="2" t="s">
        <v>124</v>
      </c>
      <c r="B47" s="3" t="s">
        <v>125</v>
      </c>
      <c r="C47" s="3" t="s">
        <v>126</v>
      </c>
      <c r="D47" s="4" t="s">
        <v>7</v>
      </c>
      <c r="F47">
        <v>5341884086</v>
      </c>
      <c r="G47" s="1" t="s">
        <v>270</v>
      </c>
      <c r="H47" s="1" t="s">
        <v>1127</v>
      </c>
      <c r="I47" s="1" t="s">
        <v>1087</v>
      </c>
      <c r="J47">
        <v>2364</v>
      </c>
      <c r="K47" s="1" t="str">
        <f>VLOOKUP(uslugi411[[#This Row],[NIP]],nip_firm612[],2,FALSE)</f>
        <v>SENIN</v>
      </c>
      <c r="L47" s="1" t="str">
        <f>_xlfn.CONCAT(uslugi411[[#This Row],[ozn]:[nr]])</f>
        <v>SKS12EM</v>
      </c>
      <c r="N47">
        <v>5115061689</v>
      </c>
      <c r="O47" s="1" t="s">
        <v>1465</v>
      </c>
    </row>
    <row r="48" spans="1:15" x14ac:dyDescent="0.25">
      <c r="A48" s="5" t="s">
        <v>127</v>
      </c>
      <c r="B48" s="6" t="s">
        <v>128</v>
      </c>
      <c r="C48" s="6" t="s">
        <v>129</v>
      </c>
      <c r="D48" s="7" t="s">
        <v>7</v>
      </c>
      <c r="F48">
        <v>4779174699</v>
      </c>
      <c r="G48" s="1" t="s">
        <v>1003</v>
      </c>
      <c r="H48" s="1" t="s">
        <v>1128</v>
      </c>
      <c r="I48" s="1" t="s">
        <v>1087</v>
      </c>
      <c r="J48">
        <v>2462</v>
      </c>
      <c r="K48" s="1" t="str">
        <f>VLOOKUP(uslugi411[[#This Row],[NIP]],nip_firm612[],2,FALSE)</f>
        <v>FASO</v>
      </c>
      <c r="L48" s="1" t="str">
        <f>_xlfn.CONCAT(uslugi411[[#This Row],[ozn]:[nr]])</f>
        <v>DW3841A</v>
      </c>
      <c r="N48">
        <v>4796841112</v>
      </c>
      <c r="O48" s="1" t="s">
        <v>1466</v>
      </c>
    </row>
    <row r="49" spans="1:15" x14ac:dyDescent="0.25">
      <c r="A49" s="2" t="s">
        <v>130</v>
      </c>
      <c r="B49" s="3" t="s">
        <v>131</v>
      </c>
      <c r="C49" s="3" t="s">
        <v>132</v>
      </c>
      <c r="D49" s="4" t="s">
        <v>7</v>
      </c>
      <c r="F49">
        <v>1939065269</v>
      </c>
      <c r="G49" s="1" t="s">
        <v>636</v>
      </c>
      <c r="H49" s="1" t="s">
        <v>1129</v>
      </c>
      <c r="I49" s="1" t="s">
        <v>1087</v>
      </c>
      <c r="J49">
        <v>2696</v>
      </c>
      <c r="K49" s="1" t="str">
        <f>VLOOKUP(uslugi411[[#This Row],[NIP]],nip_firm612[],2,FALSE)</f>
        <v>KUSTMASZ</v>
      </c>
      <c r="L49" s="1" t="str">
        <f>_xlfn.CONCAT(uslugi411[[#This Row],[ozn]:[nr]])</f>
        <v>PO16880</v>
      </c>
      <c r="N49">
        <v>1617995032</v>
      </c>
      <c r="O49" s="1" t="s">
        <v>1467</v>
      </c>
    </row>
    <row r="50" spans="1:15" x14ac:dyDescent="0.25">
      <c r="A50" s="5" t="s">
        <v>133</v>
      </c>
      <c r="B50" s="6" t="s">
        <v>134</v>
      </c>
      <c r="C50" s="6" t="s">
        <v>135</v>
      </c>
      <c r="D50" s="7" t="s">
        <v>7</v>
      </c>
      <c r="F50">
        <v>1939065269</v>
      </c>
      <c r="G50" s="1" t="s">
        <v>636</v>
      </c>
      <c r="H50" s="1" t="s">
        <v>1130</v>
      </c>
      <c r="I50" s="1" t="s">
        <v>1081</v>
      </c>
      <c r="J50">
        <v>2073</v>
      </c>
      <c r="K50" s="1" t="str">
        <f>VLOOKUP(uslugi411[[#This Row],[NIP]],nip_firm612[],2,FALSE)</f>
        <v>KUSTMASZ</v>
      </c>
      <c r="L50" s="1" t="str">
        <f>_xlfn.CONCAT(uslugi411[[#This Row],[ozn]:[nr]])</f>
        <v>PO3921Q</v>
      </c>
      <c r="N50">
        <v>2214740049</v>
      </c>
      <c r="O50" s="1" t="s">
        <v>1468</v>
      </c>
    </row>
    <row r="51" spans="1:15" x14ac:dyDescent="0.25">
      <c r="A51" s="2" t="s">
        <v>136</v>
      </c>
      <c r="B51" s="3" t="s">
        <v>137</v>
      </c>
      <c r="C51" s="3" t="s">
        <v>138</v>
      </c>
      <c r="D51" s="4" t="s">
        <v>7</v>
      </c>
      <c r="F51">
        <v>5459753232</v>
      </c>
      <c r="G51" s="1" t="s">
        <v>737</v>
      </c>
      <c r="H51" s="1" t="s">
        <v>1131</v>
      </c>
      <c r="I51" s="1" t="s">
        <v>1087</v>
      </c>
      <c r="J51">
        <v>1629</v>
      </c>
      <c r="K51" s="1" t="str">
        <f>VLOOKUP(uslugi411[[#This Row],[NIP]],nip_firm612[],2,FALSE)</f>
        <v>TARGOR</v>
      </c>
      <c r="L51" s="1" t="str">
        <f>_xlfn.CONCAT(uslugi411[[#This Row],[ozn]:[nr]])</f>
        <v>BSI24678</v>
      </c>
      <c r="N51">
        <v>1620242236</v>
      </c>
      <c r="O51" s="1" t="s">
        <v>1469</v>
      </c>
    </row>
    <row r="52" spans="1:15" x14ac:dyDescent="0.25">
      <c r="A52" s="5" t="s">
        <v>139</v>
      </c>
      <c r="B52" s="6" t="s">
        <v>140</v>
      </c>
      <c r="C52" s="6" t="s">
        <v>140</v>
      </c>
      <c r="D52" s="7" t="s">
        <v>22</v>
      </c>
      <c r="F52">
        <v>4761158900</v>
      </c>
      <c r="G52" s="1" t="s">
        <v>294</v>
      </c>
      <c r="H52" s="1" t="s">
        <v>1132</v>
      </c>
      <c r="I52" s="1" t="s">
        <v>1087</v>
      </c>
      <c r="J52">
        <v>2139</v>
      </c>
      <c r="K52" s="1" t="str">
        <f>VLOOKUP(uslugi411[[#This Row],[NIP]],nip_firm612[],2,FALSE)</f>
        <v>WROCBUD3</v>
      </c>
      <c r="L52" s="1" t="str">
        <f>_xlfn.CONCAT(uslugi411[[#This Row],[ozn]:[nr]])</f>
        <v>OKL83130</v>
      </c>
      <c r="N52">
        <v>3579231044</v>
      </c>
      <c r="O52" s="1" t="s">
        <v>1470</v>
      </c>
    </row>
    <row r="53" spans="1:15" x14ac:dyDescent="0.25">
      <c r="A53" s="2" t="s">
        <v>141</v>
      </c>
      <c r="B53" s="3" t="s">
        <v>142</v>
      </c>
      <c r="C53" s="3" t="s">
        <v>140</v>
      </c>
      <c r="D53" s="4" t="s">
        <v>7</v>
      </c>
      <c r="F53">
        <v>1127056356</v>
      </c>
      <c r="G53" s="1" t="s">
        <v>317</v>
      </c>
      <c r="H53" s="1" t="s">
        <v>1133</v>
      </c>
      <c r="I53" s="1" t="s">
        <v>1087</v>
      </c>
      <c r="J53">
        <v>2944</v>
      </c>
      <c r="K53" s="1" t="str">
        <f>VLOOKUP(uslugi411[[#This Row],[NIP]],nip_firm612[],2,FALSE)</f>
        <v>KONSBET</v>
      </c>
      <c r="L53" s="1" t="str">
        <f>_xlfn.CONCAT(uslugi411[[#This Row],[ozn]:[nr]])</f>
        <v>PKSC568</v>
      </c>
      <c r="N53">
        <v>6727559092</v>
      </c>
      <c r="O53" s="1" t="s">
        <v>1471</v>
      </c>
    </row>
    <row r="54" spans="1:15" x14ac:dyDescent="0.25">
      <c r="A54" s="5" t="s">
        <v>143</v>
      </c>
      <c r="B54" s="6" t="s">
        <v>144</v>
      </c>
      <c r="C54" s="6" t="s">
        <v>145</v>
      </c>
      <c r="D54" s="7" t="s">
        <v>7</v>
      </c>
      <c r="F54">
        <v>1361555378</v>
      </c>
      <c r="G54" s="1" t="s">
        <v>270</v>
      </c>
      <c r="H54" s="1" t="s">
        <v>1134</v>
      </c>
      <c r="I54" s="1" t="s">
        <v>1081</v>
      </c>
      <c r="J54">
        <v>2250</v>
      </c>
      <c r="K54" s="1" t="str">
        <f>VLOOKUP(uslugi411[[#This Row],[NIP]],nip_firm612[],2,FALSE)</f>
        <v>OSTOPOL</v>
      </c>
      <c r="L54" s="1" t="str">
        <f>_xlfn.CONCAT(uslugi411[[#This Row],[ozn]:[nr]])</f>
        <v>SKWM236</v>
      </c>
      <c r="N54">
        <v>4956781088</v>
      </c>
      <c r="O54" s="1" t="s">
        <v>1472</v>
      </c>
    </row>
    <row r="55" spans="1:15" x14ac:dyDescent="0.25">
      <c r="A55" s="2" t="s">
        <v>146</v>
      </c>
      <c r="B55" s="3" t="s">
        <v>147</v>
      </c>
      <c r="C55" s="3" t="s">
        <v>148</v>
      </c>
      <c r="D55" s="4" t="s">
        <v>7</v>
      </c>
      <c r="F55">
        <v>1278408463</v>
      </c>
      <c r="G55" s="1" t="s">
        <v>314</v>
      </c>
      <c r="H55" s="1" t="s">
        <v>1135</v>
      </c>
      <c r="I55" s="1" t="s">
        <v>1087</v>
      </c>
      <c r="J55">
        <v>2190</v>
      </c>
      <c r="K55" s="1" t="str">
        <f>VLOOKUP(uslugi411[[#This Row],[NIP]],nip_firm612[],2,FALSE)</f>
        <v>REFAMUR</v>
      </c>
      <c r="L55" s="1" t="str">
        <f>_xlfn.CONCAT(uslugi411[[#This Row],[ozn]:[nr]])</f>
        <v>PN16782</v>
      </c>
      <c r="N55">
        <v>4715154852</v>
      </c>
      <c r="O55" s="1" t="s">
        <v>1473</v>
      </c>
    </row>
    <row r="56" spans="1:15" x14ac:dyDescent="0.25">
      <c r="A56" s="5" t="s">
        <v>149</v>
      </c>
      <c r="B56" s="6" t="s">
        <v>150</v>
      </c>
      <c r="C56" s="6" t="s">
        <v>150</v>
      </c>
      <c r="D56" s="7" t="s">
        <v>22</v>
      </c>
      <c r="F56">
        <v>3114182744</v>
      </c>
      <c r="G56" s="1" t="s">
        <v>270</v>
      </c>
      <c r="H56" s="1" t="s">
        <v>1136</v>
      </c>
      <c r="I56" s="1" t="s">
        <v>1087</v>
      </c>
      <c r="J56">
        <v>2074</v>
      </c>
      <c r="K56" s="1" t="str">
        <f>VLOOKUP(uslugi411[[#This Row],[NIP]],nip_firm612[],2,FALSE)</f>
        <v>SZCZEBRZESZYN</v>
      </c>
      <c r="L56" s="1" t="str">
        <f>_xlfn.CONCAT(uslugi411[[#This Row],[ozn]:[nr]])</f>
        <v>SKS98QG</v>
      </c>
      <c r="N56">
        <v>2581219876</v>
      </c>
      <c r="O56" s="1" t="s">
        <v>1474</v>
      </c>
    </row>
    <row r="57" spans="1:15" x14ac:dyDescent="0.25">
      <c r="A57" s="2" t="s">
        <v>151</v>
      </c>
      <c r="B57" s="3" t="s">
        <v>152</v>
      </c>
      <c r="C57" s="3" t="s">
        <v>153</v>
      </c>
      <c r="D57" s="4" t="s">
        <v>7</v>
      </c>
      <c r="F57">
        <v>4458233905</v>
      </c>
      <c r="G57" s="1" t="s">
        <v>1003</v>
      </c>
      <c r="H57" s="1" t="s">
        <v>1137</v>
      </c>
      <c r="I57" s="1" t="s">
        <v>1081</v>
      </c>
      <c r="J57">
        <v>1200</v>
      </c>
      <c r="K57" s="1" t="str">
        <f>VLOOKUP(uslugi411[[#This Row],[NIP]],nip_firm612[],2,FALSE)</f>
        <v>WROCBUD1</v>
      </c>
      <c r="L57" s="1" t="str">
        <f>_xlfn.CONCAT(uslugi411[[#This Row],[ozn]:[nr]])</f>
        <v>DW3344T</v>
      </c>
      <c r="N57">
        <v>3345883725</v>
      </c>
      <c r="O57" s="1" t="s">
        <v>1475</v>
      </c>
    </row>
    <row r="58" spans="1:15" x14ac:dyDescent="0.25">
      <c r="A58" s="5" t="s">
        <v>154</v>
      </c>
      <c r="B58" s="6" t="s">
        <v>155</v>
      </c>
      <c r="C58" s="6" t="s">
        <v>155</v>
      </c>
      <c r="D58" s="7" t="s">
        <v>22</v>
      </c>
      <c r="F58">
        <v>1617995032</v>
      </c>
      <c r="G58" s="1" t="s">
        <v>892</v>
      </c>
      <c r="H58" s="1" t="s">
        <v>1138</v>
      </c>
      <c r="I58" s="1" t="s">
        <v>1081</v>
      </c>
      <c r="J58">
        <v>1965</v>
      </c>
      <c r="K58" s="1" t="str">
        <f>VLOOKUP(uslugi411[[#This Row],[NIP]],nip_firm612[],2,FALSE)</f>
        <v>RENOWATOR</v>
      </c>
      <c r="L58" s="1" t="str">
        <f>_xlfn.CONCAT(uslugi411[[#This Row],[ozn]:[nr]])</f>
        <v>PTUL690</v>
      </c>
      <c r="N58">
        <v>5624201652</v>
      </c>
      <c r="O58" s="1" t="s">
        <v>1476</v>
      </c>
    </row>
    <row r="59" spans="1:15" x14ac:dyDescent="0.25">
      <c r="A59" s="2" t="s">
        <v>156</v>
      </c>
      <c r="B59" s="3" t="s">
        <v>157</v>
      </c>
      <c r="C59" s="3" t="s">
        <v>158</v>
      </c>
      <c r="D59" s="4" t="s">
        <v>7</v>
      </c>
      <c r="F59">
        <v>4761158900</v>
      </c>
      <c r="G59" s="1" t="s">
        <v>294</v>
      </c>
      <c r="H59" s="1" t="s">
        <v>1139</v>
      </c>
      <c r="I59" s="1" t="s">
        <v>1081</v>
      </c>
      <c r="J59">
        <v>1894</v>
      </c>
      <c r="K59" s="1" t="str">
        <f>VLOOKUP(uslugi411[[#This Row],[NIP]],nip_firm612[],2,FALSE)</f>
        <v>WROCBUD3</v>
      </c>
      <c r="L59" s="1" t="str">
        <f>_xlfn.CONCAT(uslugi411[[#This Row],[ozn]:[nr]])</f>
        <v>OKL74242</v>
      </c>
      <c r="N59">
        <v>5581610439</v>
      </c>
      <c r="O59" s="1" t="s">
        <v>1477</v>
      </c>
    </row>
    <row r="60" spans="1:15" x14ac:dyDescent="0.25">
      <c r="A60" s="5" t="s">
        <v>159</v>
      </c>
      <c r="B60" s="6" t="s">
        <v>160</v>
      </c>
      <c r="C60" s="6" t="s">
        <v>160</v>
      </c>
      <c r="D60" s="7" t="s">
        <v>22</v>
      </c>
      <c r="F60">
        <v>4241680809</v>
      </c>
      <c r="G60" s="1" t="s">
        <v>270</v>
      </c>
      <c r="H60" s="1" t="s">
        <v>1140</v>
      </c>
      <c r="I60" s="1" t="s">
        <v>1087</v>
      </c>
      <c r="J60">
        <v>1946</v>
      </c>
      <c r="K60" s="1" t="str">
        <f>VLOOKUP(uslugi411[[#This Row],[NIP]],nip_firm612[],2,FALSE)</f>
        <v>WROCBUD4</v>
      </c>
      <c r="L60" s="1" t="str">
        <f>_xlfn.CONCAT(uslugi411[[#This Row],[ozn]:[nr]])</f>
        <v>SKRG347</v>
      </c>
      <c r="N60">
        <v>3470453173</v>
      </c>
      <c r="O60" s="1" t="s">
        <v>1478</v>
      </c>
    </row>
    <row r="61" spans="1:15" x14ac:dyDescent="0.25">
      <c r="A61" s="2" t="s">
        <v>161</v>
      </c>
      <c r="B61" s="3" t="s">
        <v>162</v>
      </c>
      <c r="C61" s="3" t="s">
        <v>160</v>
      </c>
      <c r="D61" s="4" t="s">
        <v>7</v>
      </c>
      <c r="F61">
        <v>1524870307</v>
      </c>
      <c r="G61" s="1" t="s">
        <v>270</v>
      </c>
      <c r="H61" s="1" t="s">
        <v>1141</v>
      </c>
      <c r="I61" s="1" t="s">
        <v>1081</v>
      </c>
      <c r="J61">
        <v>1810</v>
      </c>
      <c r="K61" s="1" t="str">
        <f>VLOOKUP(uslugi411[[#This Row],[NIP]],nip_firm612[],2,FALSE)</f>
        <v>NOTOM</v>
      </c>
      <c r="L61" s="1" t="str">
        <f>_xlfn.CONCAT(uslugi411[[#This Row],[ozn]:[nr]])</f>
        <v>SKN89WP</v>
      </c>
      <c r="N61">
        <v>6758177505</v>
      </c>
      <c r="O61" s="1" t="s">
        <v>1479</v>
      </c>
    </row>
    <row r="62" spans="1:15" x14ac:dyDescent="0.25">
      <c r="A62" s="5" t="s">
        <v>163</v>
      </c>
      <c r="B62" s="6" t="s">
        <v>164</v>
      </c>
      <c r="C62" s="6" t="s">
        <v>165</v>
      </c>
      <c r="D62" s="7" t="s">
        <v>7</v>
      </c>
      <c r="F62">
        <v>1818291355</v>
      </c>
      <c r="G62" s="1" t="s">
        <v>270</v>
      </c>
      <c r="H62" s="1" t="s">
        <v>1142</v>
      </c>
      <c r="I62" s="1" t="s">
        <v>1081</v>
      </c>
      <c r="J62">
        <v>2448</v>
      </c>
      <c r="K62" s="1" t="str">
        <f>VLOOKUP(uslugi411[[#This Row],[NIP]],nip_firm612[],2,FALSE)</f>
        <v>SZAMOT</v>
      </c>
      <c r="L62" s="1" t="str">
        <f>_xlfn.CONCAT(uslugi411[[#This Row],[ozn]:[nr]])</f>
        <v>SKZ78PZ</v>
      </c>
    </row>
    <row r="63" spans="1:15" x14ac:dyDescent="0.25">
      <c r="A63" s="2" t="s">
        <v>166</v>
      </c>
      <c r="B63" s="3" t="s">
        <v>167</v>
      </c>
      <c r="C63" s="3" t="s">
        <v>168</v>
      </c>
      <c r="D63" s="4" t="s">
        <v>7</v>
      </c>
      <c r="F63">
        <v>4653095092</v>
      </c>
      <c r="G63" s="1" t="s">
        <v>527</v>
      </c>
      <c r="H63" s="1" t="s">
        <v>1143</v>
      </c>
      <c r="I63" s="1" t="s">
        <v>1087</v>
      </c>
      <c r="J63">
        <v>1995</v>
      </c>
      <c r="K63" s="1" t="str">
        <f>VLOOKUP(uslugi411[[#This Row],[NIP]],nip_firm612[],2,FALSE)</f>
        <v>ZGORZELEC</v>
      </c>
      <c r="L63" s="1" t="str">
        <f>_xlfn.CONCAT(uslugi411[[#This Row],[ozn]:[nr]])</f>
        <v>ONY1245</v>
      </c>
    </row>
    <row r="64" spans="1:15" x14ac:dyDescent="0.25">
      <c r="A64" s="5" t="s">
        <v>169</v>
      </c>
      <c r="B64" s="6" t="s">
        <v>170</v>
      </c>
      <c r="C64" s="6" t="s">
        <v>171</v>
      </c>
      <c r="D64" s="7" t="s">
        <v>7</v>
      </c>
      <c r="F64">
        <v>6758177505</v>
      </c>
      <c r="G64" s="1" t="s">
        <v>869</v>
      </c>
      <c r="H64" s="1" t="s">
        <v>1144</v>
      </c>
      <c r="I64" s="1" t="s">
        <v>1081</v>
      </c>
      <c r="J64">
        <v>2216</v>
      </c>
      <c r="K64" s="1" t="str">
        <f>VLOOKUP(uslugi411[[#This Row],[NIP]],nip_firm612[],2,FALSE)</f>
        <v>WERTIX</v>
      </c>
      <c r="L64" s="1" t="str">
        <f>_xlfn.CONCAT(uslugi411[[#This Row],[ozn]:[nr]])</f>
        <v>KTA512R</v>
      </c>
    </row>
    <row r="65" spans="1:12" x14ac:dyDescent="0.25">
      <c r="A65" s="2" t="s">
        <v>172</v>
      </c>
      <c r="B65" s="3" t="s">
        <v>173</v>
      </c>
      <c r="C65" s="3" t="s">
        <v>174</v>
      </c>
      <c r="D65" s="4" t="s">
        <v>7</v>
      </c>
      <c r="F65">
        <v>1278408463</v>
      </c>
      <c r="G65" s="1" t="s">
        <v>314</v>
      </c>
      <c r="H65" s="1" t="s">
        <v>1145</v>
      </c>
      <c r="I65" s="1" t="s">
        <v>1081</v>
      </c>
      <c r="J65">
        <v>2226</v>
      </c>
      <c r="K65" s="1" t="str">
        <f>VLOOKUP(uslugi411[[#This Row],[NIP]],nip_firm612[],2,FALSE)</f>
        <v>REFAMUR</v>
      </c>
      <c r="L65" s="1" t="str">
        <f>_xlfn.CONCAT(uslugi411[[#This Row],[ozn]:[nr]])</f>
        <v>PN16784</v>
      </c>
    </row>
    <row r="66" spans="1:12" x14ac:dyDescent="0.25">
      <c r="A66" s="5" t="s">
        <v>175</v>
      </c>
      <c r="B66" s="6" t="s">
        <v>176</v>
      </c>
      <c r="C66" s="6" t="s">
        <v>177</v>
      </c>
      <c r="D66" s="7" t="s">
        <v>7</v>
      </c>
      <c r="F66">
        <v>3318203338</v>
      </c>
      <c r="G66" s="1" t="s">
        <v>270</v>
      </c>
      <c r="H66" s="1" t="s">
        <v>1146</v>
      </c>
      <c r="I66" s="1" t="s">
        <v>1081</v>
      </c>
      <c r="J66">
        <v>2640</v>
      </c>
      <c r="K66" s="1" t="str">
        <f>VLOOKUP(uslugi411[[#This Row],[NIP]],nip_firm612[],2,FALSE)</f>
        <v>LUBLIN1</v>
      </c>
      <c r="L66" s="1" t="str">
        <f>_xlfn.CONCAT(uslugi411[[#This Row],[ozn]:[nr]])</f>
        <v>SKLG353</v>
      </c>
    </row>
    <row r="67" spans="1:12" x14ac:dyDescent="0.25">
      <c r="A67" s="2" t="s">
        <v>178</v>
      </c>
      <c r="B67" s="3" t="s">
        <v>179</v>
      </c>
      <c r="C67" s="3" t="s">
        <v>180</v>
      </c>
      <c r="D67" s="4" t="s">
        <v>7</v>
      </c>
      <c r="F67">
        <v>1617995032</v>
      </c>
      <c r="G67" s="1" t="s">
        <v>892</v>
      </c>
      <c r="H67" s="1" t="s">
        <v>1147</v>
      </c>
      <c r="I67" s="1" t="s">
        <v>1081</v>
      </c>
      <c r="J67">
        <v>2358</v>
      </c>
      <c r="K67" s="1" t="str">
        <f>VLOOKUP(uslugi411[[#This Row],[NIP]],nip_firm612[],2,FALSE)</f>
        <v>RENOWATOR</v>
      </c>
      <c r="L67" s="1" t="str">
        <f>_xlfn.CONCAT(uslugi411[[#This Row],[ozn]:[nr]])</f>
        <v>PTU52YS</v>
      </c>
    </row>
    <row r="68" spans="1:12" x14ac:dyDescent="0.25">
      <c r="A68" s="5" t="s">
        <v>181</v>
      </c>
      <c r="B68" s="6" t="s">
        <v>182</v>
      </c>
      <c r="C68" s="6" t="s">
        <v>183</v>
      </c>
      <c r="D68" s="7" t="s">
        <v>7</v>
      </c>
      <c r="F68">
        <v>4458233905</v>
      </c>
      <c r="G68" s="1" t="s">
        <v>1003</v>
      </c>
      <c r="H68" s="1" t="s">
        <v>1148</v>
      </c>
      <c r="I68" s="1" t="s">
        <v>1087</v>
      </c>
      <c r="J68">
        <v>2175</v>
      </c>
      <c r="K68" s="1" t="str">
        <f>VLOOKUP(uslugi411[[#This Row],[NIP]],nip_firm612[],2,FALSE)</f>
        <v>WROCBUD1</v>
      </c>
      <c r="L68" s="1" t="str">
        <f>_xlfn.CONCAT(uslugi411[[#This Row],[ozn]:[nr]])</f>
        <v>DWRM754</v>
      </c>
    </row>
    <row r="69" spans="1:12" x14ac:dyDescent="0.25">
      <c r="A69" s="2" t="s">
        <v>184</v>
      </c>
      <c r="B69" s="3" t="s">
        <v>185</v>
      </c>
      <c r="C69" s="3" t="s">
        <v>186</v>
      </c>
      <c r="D69" s="4" t="s">
        <v>7</v>
      </c>
      <c r="F69">
        <v>1361555378</v>
      </c>
      <c r="G69" s="1" t="s">
        <v>270</v>
      </c>
      <c r="H69" s="1" t="s">
        <v>1149</v>
      </c>
      <c r="I69" s="1" t="s">
        <v>1081</v>
      </c>
      <c r="J69">
        <v>2972</v>
      </c>
      <c r="K69" s="1" t="str">
        <f>VLOOKUP(uslugi411[[#This Row],[NIP]],nip_firm612[],2,FALSE)</f>
        <v>OSTOPOL</v>
      </c>
      <c r="L69" s="1" t="str">
        <f>_xlfn.CONCAT(uslugi411[[#This Row],[ozn]:[nr]])</f>
        <v>SKWD234</v>
      </c>
    </row>
    <row r="70" spans="1:12" x14ac:dyDescent="0.25">
      <c r="A70" s="5" t="s">
        <v>187</v>
      </c>
      <c r="B70" s="6" t="s">
        <v>188</v>
      </c>
      <c r="C70" s="6" t="s">
        <v>188</v>
      </c>
      <c r="D70" s="7" t="s">
        <v>22</v>
      </c>
      <c r="F70">
        <v>6758177505</v>
      </c>
      <c r="G70" s="1" t="s">
        <v>862</v>
      </c>
      <c r="H70" s="1" t="s">
        <v>1150</v>
      </c>
      <c r="I70" s="1" t="s">
        <v>1081</v>
      </c>
      <c r="J70">
        <v>1779</v>
      </c>
      <c r="K70" s="1" t="str">
        <f>VLOOKUP(uslugi411[[#This Row],[NIP]],nip_firm612[],2,FALSE)</f>
        <v>WERTIX</v>
      </c>
      <c r="L70" s="1" t="str">
        <f>_xlfn.CONCAT(uslugi411[[#This Row],[ozn]:[nr]])</f>
        <v>RTA490N</v>
      </c>
    </row>
    <row r="71" spans="1:12" x14ac:dyDescent="0.25">
      <c r="A71" s="2" t="s">
        <v>189</v>
      </c>
      <c r="B71" s="3" t="s">
        <v>190</v>
      </c>
      <c r="C71" s="3" t="s">
        <v>191</v>
      </c>
      <c r="D71" s="4" t="s">
        <v>7</v>
      </c>
      <c r="F71">
        <v>3318203338</v>
      </c>
      <c r="G71" s="1" t="s">
        <v>270</v>
      </c>
      <c r="H71" s="1" t="s">
        <v>1151</v>
      </c>
      <c r="I71" s="1" t="s">
        <v>1087</v>
      </c>
      <c r="J71">
        <v>2165</v>
      </c>
      <c r="K71" s="1" t="str">
        <f>VLOOKUP(uslugi411[[#This Row],[NIP]],nip_firm612[],2,FALSE)</f>
        <v>LUBLIN1</v>
      </c>
      <c r="L71" s="1" t="str">
        <f>_xlfn.CONCAT(uslugi411[[#This Row],[ozn]:[nr]])</f>
        <v>SKL67AK</v>
      </c>
    </row>
    <row r="72" spans="1:12" x14ac:dyDescent="0.25">
      <c r="A72" s="5" t="s">
        <v>192</v>
      </c>
      <c r="B72" s="6" t="s">
        <v>193</v>
      </c>
      <c r="C72" s="6" t="s">
        <v>194</v>
      </c>
      <c r="D72" s="7" t="s">
        <v>7</v>
      </c>
      <c r="F72">
        <v>5459753232</v>
      </c>
      <c r="G72" s="1" t="s">
        <v>737</v>
      </c>
      <c r="H72" s="1" t="s">
        <v>1152</v>
      </c>
      <c r="I72" s="1" t="s">
        <v>1081</v>
      </c>
      <c r="J72">
        <v>2758</v>
      </c>
      <c r="K72" s="1" t="str">
        <f>VLOOKUP(uslugi411[[#This Row],[NIP]],nip_firm612[],2,FALSE)</f>
        <v>TARGOR</v>
      </c>
      <c r="L72" s="1" t="str">
        <f>_xlfn.CONCAT(uslugi411[[#This Row],[ozn]:[nr]])</f>
        <v>BSI25082</v>
      </c>
    </row>
    <row r="73" spans="1:12" x14ac:dyDescent="0.25">
      <c r="A73" s="2" t="s">
        <v>195</v>
      </c>
      <c r="B73" s="3" t="s">
        <v>196</v>
      </c>
      <c r="C73" s="3" t="s">
        <v>197</v>
      </c>
      <c r="D73" s="4" t="s">
        <v>7</v>
      </c>
      <c r="F73">
        <v>4326751508</v>
      </c>
      <c r="G73" s="1" t="s">
        <v>40</v>
      </c>
      <c r="H73" s="1" t="s">
        <v>1153</v>
      </c>
      <c r="I73" s="1" t="s">
        <v>1087</v>
      </c>
      <c r="J73">
        <v>2198</v>
      </c>
      <c r="K73" s="1" t="str">
        <f>VLOOKUP(uslugi411[[#This Row],[NIP]],nip_firm612[],2,FALSE)</f>
        <v>WROCBUD2</v>
      </c>
      <c r="L73" s="1" t="str">
        <f>_xlfn.CONCAT(uslugi411[[#This Row],[ozn]:[nr]])</f>
        <v>SB49800</v>
      </c>
    </row>
    <row r="74" spans="1:12" x14ac:dyDescent="0.25">
      <c r="A74" s="5" t="s">
        <v>198</v>
      </c>
      <c r="B74" s="6" t="s">
        <v>199</v>
      </c>
      <c r="C74" s="6" t="s">
        <v>200</v>
      </c>
      <c r="D74" s="7" t="s">
        <v>7</v>
      </c>
      <c r="F74">
        <v>4326751508</v>
      </c>
      <c r="G74" s="1" t="s">
        <v>40</v>
      </c>
      <c r="H74" s="1" t="s">
        <v>1154</v>
      </c>
      <c r="I74" s="1" t="s">
        <v>1087</v>
      </c>
      <c r="J74">
        <v>1902</v>
      </c>
      <c r="K74" s="1" t="str">
        <f>VLOOKUP(uslugi411[[#This Row],[NIP]],nip_firm612[],2,FALSE)</f>
        <v>WROCBUD2</v>
      </c>
      <c r="L74" s="1" t="str">
        <f>_xlfn.CONCAT(uslugi411[[#This Row],[ozn]:[nr]])</f>
        <v>SB57577</v>
      </c>
    </row>
    <row r="75" spans="1:12" x14ac:dyDescent="0.25">
      <c r="A75" s="2" t="s">
        <v>201</v>
      </c>
      <c r="B75" s="3" t="s">
        <v>202</v>
      </c>
      <c r="C75" s="3" t="s">
        <v>203</v>
      </c>
      <c r="D75" s="4" t="s">
        <v>7</v>
      </c>
      <c r="F75">
        <v>4458233905</v>
      </c>
      <c r="G75" s="1" t="s">
        <v>270</v>
      </c>
      <c r="H75" s="1" t="s">
        <v>1155</v>
      </c>
      <c r="I75" s="1" t="s">
        <v>1087</v>
      </c>
      <c r="J75">
        <v>2318</v>
      </c>
      <c r="K75" s="1" t="str">
        <f>VLOOKUP(uslugi411[[#This Row],[NIP]],nip_firm612[],2,FALSE)</f>
        <v>WROCBUD1</v>
      </c>
      <c r="L75" s="1" t="str">
        <f>_xlfn.CONCAT(uslugi411[[#This Row],[ozn]:[nr]])</f>
        <v>SKRM745</v>
      </c>
    </row>
    <row r="76" spans="1:12" x14ac:dyDescent="0.25">
      <c r="A76" s="5" t="s">
        <v>204</v>
      </c>
      <c r="B76" s="6" t="s">
        <v>202</v>
      </c>
      <c r="C76" s="6" t="s">
        <v>205</v>
      </c>
      <c r="D76" s="7" t="s">
        <v>7</v>
      </c>
      <c r="F76">
        <v>3470453173</v>
      </c>
      <c r="G76" s="1" t="s">
        <v>85</v>
      </c>
      <c r="H76" s="1" t="s">
        <v>1156</v>
      </c>
      <c r="I76" s="1" t="s">
        <v>1081</v>
      </c>
      <c r="J76">
        <v>2415</v>
      </c>
      <c r="K76" s="1" t="str">
        <f>VLOOKUP(uslugi411[[#This Row],[NIP]],nip_firm612[],2,FALSE)</f>
        <v>MASPOL</v>
      </c>
      <c r="L76" s="1" t="str">
        <f>_xlfn.CONCAT(uslugi411[[#This Row],[ozn]:[nr]])</f>
        <v>LC7893E</v>
      </c>
    </row>
    <row r="77" spans="1:12" x14ac:dyDescent="0.25">
      <c r="A77" s="2" t="s">
        <v>206</v>
      </c>
      <c r="B77" s="3" t="s">
        <v>207</v>
      </c>
      <c r="C77" s="3" t="s">
        <v>208</v>
      </c>
      <c r="D77" s="4" t="s">
        <v>7</v>
      </c>
      <c r="F77">
        <v>1524870307</v>
      </c>
      <c r="G77" s="1" t="s">
        <v>270</v>
      </c>
      <c r="H77" s="1" t="s">
        <v>1157</v>
      </c>
      <c r="I77" s="1" t="s">
        <v>1087</v>
      </c>
      <c r="J77">
        <v>1893</v>
      </c>
      <c r="K77" s="1" t="str">
        <f>VLOOKUP(uslugi411[[#This Row],[NIP]],nip_firm612[],2,FALSE)</f>
        <v>NOTOM</v>
      </c>
      <c r="L77" s="1" t="str">
        <f>_xlfn.CONCAT(uslugi411[[#This Row],[ozn]:[nr]])</f>
        <v>SKN90SL</v>
      </c>
    </row>
    <row r="78" spans="1:12" x14ac:dyDescent="0.25">
      <c r="A78" s="5" t="s">
        <v>209</v>
      </c>
      <c r="B78" s="6" t="s">
        <v>210</v>
      </c>
      <c r="C78" s="6" t="s">
        <v>210</v>
      </c>
      <c r="D78" s="7" t="s">
        <v>22</v>
      </c>
      <c r="F78">
        <v>2245871126</v>
      </c>
      <c r="G78" s="1" t="s">
        <v>73</v>
      </c>
      <c r="H78" s="1" t="s">
        <v>1158</v>
      </c>
      <c r="I78" s="1" t="s">
        <v>1087</v>
      </c>
      <c r="J78">
        <v>1950</v>
      </c>
      <c r="K78" s="1" t="str">
        <f>VLOOKUP(uslugi411[[#This Row],[NIP]],nip_firm612[],2,FALSE)</f>
        <v>OLSZTYN</v>
      </c>
      <c r="L78" s="1" t="str">
        <f>_xlfn.CONCAT(uslugi411[[#This Row],[ozn]:[nr]])</f>
        <v>TBU24072</v>
      </c>
    </row>
    <row r="79" spans="1:12" x14ac:dyDescent="0.25">
      <c r="A79" s="2" t="s">
        <v>211</v>
      </c>
      <c r="B79" s="3" t="s">
        <v>212</v>
      </c>
      <c r="C79" s="3" t="s">
        <v>210</v>
      </c>
      <c r="D79" s="4" t="s">
        <v>7</v>
      </c>
      <c r="F79">
        <v>2281651150</v>
      </c>
      <c r="G79" s="1" t="s">
        <v>552</v>
      </c>
      <c r="H79" s="1" t="s">
        <v>1159</v>
      </c>
      <c r="I79" s="1" t="s">
        <v>1087</v>
      </c>
      <c r="J79">
        <v>2575</v>
      </c>
      <c r="K79" s="1" t="str">
        <f>VLOOKUP(uslugi411[[#This Row],[NIP]],nip_firm612[],2,FALSE)</f>
        <v>MAZUTEX</v>
      </c>
      <c r="L79" s="1" t="str">
        <f>_xlfn.CONCAT(uslugi411[[#This Row],[ozn]:[nr]])</f>
        <v>NOL14UV</v>
      </c>
    </row>
    <row r="80" spans="1:12" x14ac:dyDescent="0.25">
      <c r="A80" s="5" t="s">
        <v>213</v>
      </c>
      <c r="B80" s="6" t="s">
        <v>214</v>
      </c>
      <c r="C80" s="6" t="s">
        <v>215</v>
      </c>
      <c r="D80" s="7" t="s">
        <v>7</v>
      </c>
      <c r="F80">
        <v>5266741491</v>
      </c>
      <c r="G80" s="1" t="s">
        <v>636</v>
      </c>
      <c r="H80" s="1" t="s">
        <v>1160</v>
      </c>
      <c r="I80" s="1" t="s">
        <v>1081</v>
      </c>
      <c r="J80">
        <v>2565</v>
      </c>
      <c r="K80" s="1" t="str">
        <f>VLOOKUP(uslugi411[[#This Row],[NIP]],nip_firm612[],2,FALSE)</f>
        <v>PIEKAR</v>
      </c>
      <c r="L80" s="1" t="str">
        <f>_xlfn.CONCAT(uslugi411[[#This Row],[ozn]:[nr]])</f>
        <v>POP48WY</v>
      </c>
    </row>
    <row r="81" spans="1:12" x14ac:dyDescent="0.25">
      <c r="A81" s="2" t="s">
        <v>216</v>
      </c>
      <c r="B81" s="3" t="s">
        <v>217</v>
      </c>
      <c r="C81" s="3" t="s">
        <v>218</v>
      </c>
      <c r="D81" s="4" t="s">
        <v>7</v>
      </c>
      <c r="F81">
        <v>5341884086</v>
      </c>
      <c r="G81" s="1" t="s">
        <v>636</v>
      </c>
      <c r="H81" s="1" t="s">
        <v>1161</v>
      </c>
      <c r="I81" s="1" t="s">
        <v>1081</v>
      </c>
      <c r="J81">
        <v>1970</v>
      </c>
      <c r="K81" s="1" t="str">
        <f>VLOOKUP(uslugi411[[#This Row],[NIP]],nip_firm612[],2,FALSE)</f>
        <v>SENIN</v>
      </c>
      <c r="L81" s="1" t="str">
        <f>_xlfn.CONCAT(uslugi411[[#This Row],[ozn]:[nr]])</f>
        <v>POS23TN</v>
      </c>
    </row>
    <row r="82" spans="1:12" x14ac:dyDescent="0.25">
      <c r="A82" s="5" t="s">
        <v>219</v>
      </c>
      <c r="B82" s="6" t="s">
        <v>220</v>
      </c>
      <c r="C82" s="6" t="s">
        <v>221</v>
      </c>
      <c r="D82" s="7" t="s">
        <v>7</v>
      </c>
      <c r="F82">
        <v>5459753232</v>
      </c>
      <c r="G82" s="1" t="s">
        <v>737</v>
      </c>
      <c r="H82" s="1" t="s">
        <v>1162</v>
      </c>
      <c r="I82" s="1" t="s">
        <v>1087</v>
      </c>
      <c r="J82">
        <v>1950</v>
      </c>
      <c r="K82" s="1" t="str">
        <f>VLOOKUP(uslugi411[[#This Row],[NIP]],nip_firm612[],2,FALSE)</f>
        <v>TARGOR</v>
      </c>
      <c r="L82" s="1" t="str">
        <f>_xlfn.CONCAT(uslugi411[[#This Row],[ozn]:[nr]])</f>
        <v>BSI25284</v>
      </c>
    </row>
    <row r="83" spans="1:12" x14ac:dyDescent="0.25">
      <c r="A83" s="2" t="s">
        <v>222</v>
      </c>
      <c r="B83" s="3" t="s">
        <v>223</v>
      </c>
      <c r="C83" s="3" t="s">
        <v>224</v>
      </c>
      <c r="D83" s="4" t="s">
        <v>7</v>
      </c>
      <c r="F83">
        <v>1617995032</v>
      </c>
      <c r="G83" s="1" t="s">
        <v>892</v>
      </c>
      <c r="H83" s="1" t="s">
        <v>1163</v>
      </c>
      <c r="I83" s="1" t="s">
        <v>1081</v>
      </c>
      <c r="J83">
        <v>2448</v>
      </c>
      <c r="K83" s="1" t="str">
        <f>VLOOKUP(uslugi411[[#This Row],[NIP]],nip_firm612[],2,FALSE)</f>
        <v>RENOWATOR</v>
      </c>
      <c r="L83" s="1" t="str">
        <f>_xlfn.CONCAT(uslugi411[[#This Row],[ozn]:[nr]])</f>
        <v>PTU56KC</v>
      </c>
    </row>
    <row r="84" spans="1:12" x14ac:dyDescent="0.25">
      <c r="A84" s="5" t="s">
        <v>225</v>
      </c>
      <c r="B84" s="6" t="s">
        <v>226</v>
      </c>
      <c r="C84" s="6" t="s">
        <v>227</v>
      </c>
      <c r="D84" s="7" t="s">
        <v>7</v>
      </c>
      <c r="F84">
        <v>5185759244</v>
      </c>
      <c r="G84" s="1" t="s">
        <v>636</v>
      </c>
      <c r="H84" s="1" t="s">
        <v>1164</v>
      </c>
      <c r="I84" s="1" t="s">
        <v>1087</v>
      </c>
      <c r="J84">
        <v>2688</v>
      </c>
      <c r="K84" s="1" t="str">
        <f>VLOOKUP(uslugi411[[#This Row],[NIP]],nip_firm612[],2,FALSE)</f>
        <v>BYTOM1</v>
      </c>
      <c r="L84" s="1" t="str">
        <f>_xlfn.CONCAT(uslugi411[[#This Row],[ozn]:[nr]])</f>
        <v>POY32DP</v>
      </c>
    </row>
    <row r="85" spans="1:12" x14ac:dyDescent="0.25">
      <c r="A85" s="2" t="s">
        <v>228</v>
      </c>
      <c r="B85" s="3" t="s">
        <v>229</v>
      </c>
      <c r="C85" s="3" t="s">
        <v>230</v>
      </c>
      <c r="D85" s="4" t="s">
        <v>7</v>
      </c>
      <c r="F85">
        <v>3568004264</v>
      </c>
      <c r="G85" s="1" t="s">
        <v>428</v>
      </c>
      <c r="H85" s="1" t="s">
        <v>1165</v>
      </c>
      <c r="I85" s="1" t="s">
        <v>1081</v>
      </c>
      <c r="J85">
        <v>2185</v>
      </c>
      <c r="K85" s="1" t="str">
        <f>VLOOKUP(uslugi411[[#This Row],[NIP]],nip_firm612[],2,FALSE)</f>
        <v>MURATOR</v>
      </c>
      <c r="L85" s="1" t="str">
        <f>_xlfn.CONCAT(uslugi411[[#This Row],[ozn]:[nr]])</f>
        <v>LUBC632</v>
      </c>
    </row>
    <row r="86" spans="1:12" x14ac:dyDescent="0.25">
      <c r="A86" s="5" t="s">
        <v>231</v>
      </c>
      <c r="B86" s="6" t="s">
        <v>232</v>
      </c>
      <c r="C86" s="6" t="s">
        <v>233</v>
      </c>
      <c r="D86" s="7" t="s">
        <v>7</v>
      </c>
      <c r="F86">
        <v>1620242236</v>
      </c>
      <c r="G86" s="1" t="s">
        <v>314</v>
      </c>
      <c r="H86" s="1" t="s">
        <v>1166</v>
      </c>
      <c r="I86" s="1" t="s">
        <v>1087</v>
      </c>
      <c r="J86">
        <v>3192</v>
      </c>
      <c r="K86" s="1" t="str">
        <f>VLOOKUP(uslugi411[[#This Row],[NIP]],nip_firm612[],2,FALSE)</f>
        <v>WIET-IND</v>
      </c>
      <c r="L86" s="1" t="str">
        <f>_xlfn.CONCAT(uslugi411[[#This Row],[ozn]:[nr]])</f>
        <v>PN4111S</v>
      </c>
    </row>
    <row r="87" spans="1:12" x14ac:dyDescent="0.25">
      <c r="A87" s="2" t="s">
        <v>234</v>
      </c>
      <c r="B87" s="3" t="s">
        <v>235</v>
      </c>
      <c r="C87" s="3" t="s">
        <v>236</v>
      </c>
      <c r="D87" s="4" t="s">
        <v>7</v>
      </c>
      <c r="F87">
        <v>3470453173</v>
      </c>
      <c r="G87" s="1" t="s">
        <v>85</v>
      </c>
      <c r="H87" s="1" t="s">
        <v>1167</v>
      </c>
      <c r="I87" s="1" t="s">
        <v>1087</v>
      </c>
      <c r="J87">
        <v>2464</v>
      </c>
      <c r="K87" s="1" t="str">
        <f>VLOOKUP(uslugi411[[#This Row],[NIP]],nip_firm612[],2,FALSE)</f>
        <v>MASPOL</v>
      </c>
      <c r="L87" s="1" t="str">
        <f>_xlfn.CONCAT(uslugi411[[#This Row],[ozn]:[nr]])</f>
        <v>LC34570</v>
      </c>
    </row>
    <row r="88" spans="1:12" x14ac:dyDescent="0.25">
      <c r="A88" s="5" t="s">
        <v>237</v>
      </c>
      <c r="B88" s="6" t="s">
        <v>238</v>
      </c>
      <c r="C88" s="6" t="s">
        <v>239</v>
      </c>
      <c r="D88" s="7" t="s">
        <v>7</v>
      </c>
      <c r="F88">
        <v>6727559092</v>
      </c>
      <c r="G88" s="1" t="s">
        <v>862</v>
      </c>
      <c r="H88" s="1" t="s">
        <v>1168</v>
      </c>
      <c r="I88" s="1" t="s">
        <v>1087</v>
      </c>
      <c r="J88">
        <v>2034</v>
      </c>
      <c r="K88" s="1" t="str">
        <f>VLOOKUP(uslugi411[[#This Row],[NIP]],nip_firm612[],2,FALSE)</f>
        <v>ANDROPOL SP. Z. O. O.</v>
      </c>
      <c r="L88" s="1" t="str">
        <f>_xlfn.CONCAT(uslugi411[[#This Row],[ozn]:[nr]])</f>
        <v>RTA301J</v>
      </c>
    </row>
    <row r="89" spans="1:12" x14ac:dyDescent="0.25">
      <c r="A89" s="2" t="s">
        <v>240</v>
      </c>
      <c r="B89" s="3" t="s">
        <v>241</v>
      </c>
      <c r="C89" s="3" t="s">
        <v>242</v>
      </c>
      <c r="D89" s="4" t="s">
        <v>7</v>
      </c>
      <c r="F89">
        <v>1127056356</v>
      </c>
      <c r="G89" s="1" t="s">
        <v>317</v>
      </c>
      <c r="H89" s="1" t="s">
        <v>1169</v>
      </c>
      <c r="I89" s="1" t="s">
        <v>1081</v>
      </c>
      <c r="J89">
        <v>2436</v>
      </c>
      <c r="K89" s="1" t="str">
        <f>VLOOKUP(uslugi411[[#This Row],[NIP]],nip_firm612[],2,FALSE)</f>
        <v>KONSBET</v>
      </c>
      <c r="L89" s="1" t="str">
        <f>_xlfn.CONCAT(uslugi411[[#This Row],[ozn]:[nr]])</f>
        <v>PKSQ564</v>
      </c>
    </row>
    <row r="90" spans="1:12" x14ac:dyDescent="0.25">
      <c r="A90" s="5" t="s">
        <v>243</v>
      </c>
      <c r="B90" s="6" t="s">
        <v>244</v>
      </c>
      <c r="C90" s="6" t="s">
        <v>244</v>
      </c>
      <c r="D90" s="7" t="s">
        <v>22</v>
      </c>
      <c r="F90">
        <v>6727559092</v>
      </c>
      <c r="G90" s="1" t="s">
        <v>862</v>
      </c>
      <c r="H90" s="1" t="s">
        <v>1170</v>
      </c>
      <c r="I90" s="1" t="s">
        <v>1087</v>
      </c>
      <c r="J90">
        <v>2114</v>
      </c>
      <c r="K90" s="1" t="str">
        <f>VLOOKUP(uslugi411[[#This Row],[NIP]],nip_firm612[],2,FALSE)</f>
        <v>ANDROPOL SP. Z. O. O.</v>
      </c>
      <c r="L90" s="1" t="str">
        <f>_xlfn.CONCAT(uslugi411[[#This Row],[ozn]:[nr]])</f>
        <v>RTA279H</v>
      </c>
    </row>
    <row r="91" spans="1:12" x14ac:dyDescent="0.25">
      <c r="A91" s="2" t="s">
        <v>245</v>
      </c>
      <c r="B91" s="3" t="s">
        <v>246</v>
      </c>
      <c r="C91" s="3" t="s">
        <v>247</v>
      </c>
      <c r="D91" s="4" t="s">
        <v>7</v>
      </c>
      <c r="F91">
        <v>1939065269</v>
      </c>
      <c r="G91" s="1" t="s">
        <v>636</v>
      </c>
      <c r="H91" s="1" t="s">
        <v>1171</v>
      </c>
      <c r="I91" s="1" t="s">
        <v>1081</v>
      </c>
      <c r="J91">
        <v>2390</v>
      </c>
      <c r="K91" s="1" t="str">
        <f>VLOOKUP(uslugi411[[#This Row],[NIP]],nip_firm612[],2,FALSE)</f>
        <v>KUSTMASZ</v>
      </c>
      <c r="L91" s="1" t="str">
        <f>_xlfn.CONCAT(uslugi411[[#This Row],[ozn]:[nr]])</f>
        <v>PO3941D</v>
      </c>
    </row>
    <row r="92" spans="1:12" x14ac:dyDescent="0.25">
      <c r="A92" s="5" t="s">
        <v>248</v>
      </c>
      <c r="B92" s="6" t="s">
        <v>249</v>
      </c>
      <c r="C92" s="6" t="s">
        <v>249</v>
      </c>
      <c r="D92" s="7" t="s">
        <v>22</v>
      </c>
      <c r="F92">
        <v>1820566794</v>
      </c>
      <c r="G92" s="1" t="s">
        <v>604</v>
      </c>
      <c r="H92" s="1" t="s">
        <v>1172</v>
      </c>
      <c r="I92" s="1" t="s">
        <v>1081</v>
      </c>
      <c r="J92">
        <v>1932</v>
      </c>
      <c r="K92" s="1" t="str">
        <f>VLOOKUP(uslugi411[[#This Row],[NIP]],nip_firm612[],2,FALSE)</f>
        <v>WRZESNIA2</v>
      </c>
      <c r="L92" s="1" t="str">
        <f>_xlfn.CONCAT(uslugi411[[#This Row],[ozn]:[nr]])</f>
        <v>PP27304</v>
      </c>
    </row>
    <row r="93" spans="1:12" x14ac:dyDescent="0.25">
      <c r="A93" s="2" t="s">
        <v>250</v>
      </c>
      <c r="B93" s="3" t="s">
        <v>251</v>
      </c>
      <c r="C93" s="3" t="s">
        <v>252</v>
      </c>
      <c r="D93" s="4" t="s">
        <v>7</v>
      </c>
      <c r="F93">
        <v>4241680809</v>
      </c>
      <c r="G93" s="1" t="s">
        <v>636</v>
      </c>
      <c r="H93" s="1" t="s">
        <v>1173</v>
      </c>
      <c r="I93" s="1" t="s">
        <v>1081</v>
      </c>
      <c r="J93">
        <v>2720</v>
      </c>
      <c r="K93" s="1" t="str">
        <f>VLOOKUP(uslugi411[[#This Row],[NIP]],nip_firm612[],2,FALSE)</f>
        <v>WROCBUD4</v>
      </c>
      <c r="L93" s="1" t="str">
        <f>_xlfn.CONCAT(uslugi411[[#This Row],[ozn]:[nr]])</f>
        <v>PORD345</v>
      </c>
    </row>
    <row r="94" spans="1:12" x14ac:dyDescent="0.25">
      <c r="A94" s="5" t="s">
        <v>253</v>
      </c>
      <c r="B94" s="6" t="s">
        <v>254</v>
      </c>
      <c r="C94" s="6" t="s">
        <v>254</v>
      </c>
      <c r="D94" s="7" t="s">
        <v>22</v>
      </c>
      <c r="F94">
        <v>4458233905</v>
      </c>
      <c r="G94" s="1" t="s">
        <v>1003</v>
      </c>
      <c r="H94" s="1" t="s">
        <v>1174</v>
      </c>
      <c r="I94" s="1" t="s">
        <v>1081</v>
      </c>
      <c r="J94">
        <v>2478</v>
      </c>
      <c r="K94" s="1" t="str">
        <f>VLOOKUP(uslugi411[[#This Row],[NIP]],nip_firm612[],2,FALSE)</f>
        <v>WROCBUD1</v>
      </c>
      <c r="L94" s="1" t="str">
        <f>_xlfn.CONCAT(uslugi411[[#This Row],[ozn]:[nr]])</f>
        <v>DW4356G</v>
      </c>
    </row>
    <row r="95" spans="1:12" x14ac:dyDescent="0.25">
      <c r="A95" s="2" t="s">
        <v>255</v>
      </c>
      <c r="B95" s="3" t="s">
        <v>256</v>
      </c>
      <c r="C95" s="3" t="s">
        <v>254</v>
      </c>
      <c r="D95" s="4" t="s">
        <v>7</v>
      </c>
      <c r="F95">
        <v>1433397952</v>
      </c>
      <c r="G95" s="1" t="s">
        <v>314</v>
      </c>
      <c r="H95" s="1" t="s">
        <v>1175</v>
      </c>
      <c r="I95" s="1" t="s">
        <v>1087</v>
      </c>
      <c r="J95">
        <v>2434</v>
      </c>
      <c r="K95" s="1" t="str">
        <f>VLOOKUP(uslugi411[[#This Row],[NIP]],nip_firm612[],2,FALSE)</f>
        <v>BARTEX</v>
      </c>
      <c r="L95" s="1" t="str">
        <f>_xlfn.CONCAT(uslugi411[[#This Row],[ozn]:[nr]])</f>
        <v>PN16836</v>
      </c>
    </row>
    <row r="96" spans="1:12" x14ac:dyDescent="0.25">
      <c r="A96" s="5" t="s">
        <v>257</v>
      </c>
      <c r="B96" s="6" t="s">
        <v>258</v>
      </c>
      <c r="C96" s="6" t="s">
        <v>259</v>
      </c>
      <c r="D96" s="7" t="s">
        <v>7</v>
      </c>
      <c r="F96">
        <v>4779174699</v>
      </c>
      <c r="G96" s="1" t="s">
        <v>1003</v>
      </c>
      <c r="H96" s="1" t="s">
        <v>1176</v>
      </c>
      <c r="I96" s="1" t="s">
        <v>1081</v>
      </c>
      <c r="J96">
        <v>2992</v>
      </c>
      <c r="K96" s="1" t="str">
        <f>VLOOKUP(uslugi411[[#This Row],[NIP]],nip_firm612[],2,FALSE)</f>
        <v>FASO</v>
      </c>
      <c r="L96" s="1" t="str">
        <f>_xlfn.CONCAT(uslugi411[[#This Row],[ozn]:[nr]])</f>
        <v>DW3851Q</v>
      </c>
    </row>
    <row r="97" spans="1:12" x14ac:dyDescent="0.25">
      <c r="A97" s="2" t="s">
        <v>260</v>
      </c>
      <c r="B97" s="3" t="s">
        <v>259</v>
      </c>
      <c r="C97" s="3" t="s">
        <v>259</v>
      </c>
      <c r="D97" s="4" t="s">
        <v>22</v>
      </c>
      <c r="F97">
        <v>5459753232</v>
      </c>
      <c r="G97" s="1" t="s">
        <v>737</v>
      </c>
      <c r="H97" s="1" t="s">
        <v>1177</v>
      </c>
      <c r="I97" s="1" t="s">
        <v>1087</v>
      </c>
      <c r="J97">
        <v>1860</v>
      </c>
      <c r="K97" s="1" t="str">
        <f>VLOOKUP(uslugi411[[#This Row],[NIP]],nip_firm612[],2,FALSE)</f>
        <v>TARGOR</v>
      </c>
      <c r="L97" s="1" t="str">
        <f>_xlfn.CONCAT(uslugi411[[#This Row],[ozn]:[nr]])</f>
        <v>BSI24880</v>
      </c>
    </row>
    <row r="98" spans="1:12" x14ac:dyDescent="0.25">
      <c r="A98" s="5" t="s">
        <v>261</v>
      </c>
      <c r="B98" s="6" t="s">
        <v>262</v>
      </c>
      <c r="C98" s="6" t="s">
        <v>263</v>
      </c>
      <c r="D98" s="7" t="s">
        <v>7</v>
      </c>
      <c r="F98">
        <v>3318203338</v>
      </c>
      <c r="G98" s="1" t="s">
        <v>636</v>
      </c>
      <c r="H98" s="1" t="s">
        <v>1178</v>
      </c>
      <c r="I98" s="1" t="s">
        <v>1081</v>
      </c>
      <c r="J98">
        <v>2427</v>
      </c>
      <c r="K98" s="1" t="str">
        <f>VLOOKUP(uslugi411[[#This Row],[NIP]],nip_firm612[],2,FALSE)</f>
        <v>LUBLIN1</v>
      </c>
      <c r="L98" s="1" t="str">
        <f>_xlfn.CONCAT(uslugi411[[#This Row],[ozn]:[nr]])</f>
        <v>POLF354</v>
      </c>
    </row>
    <row r="99" spans="1:12" x14ac:dyDescent="0.25">
      <c r="A99" s="2" t="s">
        <v>264</v>
      </c>
      <c r="B99" s="3" t="s">
        <v>265</v>
      </c>
      <c r="C99" s="3" t="s">
        <v>266</v>
      </c>
      <c r="D99" s="4" t="s">
        <v>7</v>
      </c>
      <c r="F99">
        <v>5514533376</v>
      </c>
      <c r="G99" s="1" t="s">
        <v>40</v>
      </c>
      <c r="H99" s="1" t="s">
        <v>1179</v>
      </c>
      <c r="I99" s="1" t="s">
        <v>1087</v>
      </c>
      <c r="J99">
        <v>2926</v>
      </c>
      <c r="K99" s="1" t="str">
        <f>VLOOKUP(uslugi411[[#This Row],[NIP]],nip_firm612[],2,FALSE)</f>
        <v>BYTOM2</v>
      </c>
      <c r="L99" s="1" t="str">
        <f>_xlfn.CONCAT(uslugi411[[#This Row],[ozn]:[nr]])</f>
        <v>SB26294</v>
      </c>
    </row>
    <row r="100" spans="1:12" x14ac:dyDescent="0.25">
      <c r="A100" s="5" t="s">
        <v>267</v>
      </c>
      <c r="B100" s="6" t="s">
        <v>268</v>
      </c>
      <c r="C100" s="6" t="s">
        <v>269</v>
      </c>
      <c r="D100" s="7" t="s">
        <v>7</v>
      </c>
      <c r="F100">
        <v>5418968184</v>
      </c>
      <c r="G100" s="1" t="s">
        <v>636</v>
      </c>
      <c r="H100" s="1" t="s">
        <v>1180</v>
      </c>
      <c r="I100" s="1" t="s">
        <v>1087</v>
      </c>
      <c r="J100">
        <v>1902</v>
      </c>
      <c r="K100" s="1" t="str">
        <f>VLOOKUP(uslugi411[[#This Row],[NIP]],nip_firm612[],2,FALSE)</f>
        <v>SOSNEC</v>
      </c>
      <c r="L100" s="1" t="str">
        <f>_xlfn.CONCAT(uslugi411[[#This Row],[ozn]:[nr]])</f>
        <v>POO68AY</v>
      </c>
    </row>
    <row r="101" spans="1:12" x14ac:dyDescent="0.25">
      <c r="A101" s="2" t="s">
        <v>270</v>
      </c>
      <c r="B101" s="3" t="s">
        <v>271</v>
      </c>
      <c r="C101" s="3" t="s">
        <v>271</v>
      </c>
      <c r="D101" s="4" t="s">
        <v>22</v>
      </c>
      <c r="F101">
        <v>4956781088</v>
      </c>
      <c r="G101" s="1" t="s">
        <v>184</v>
      </c>
      <c r="H101" s="1" t="s">
        <v>1181</v>
      </c>
      <c r="I101" s="1" t="s">
        <v>1081</v>
      </c>
      <c r="J101">
        <v>1929</v>
      </c>
      <c r="K101" s="1" t="str">
        <f>VLOOKUP(uslugi411[[#This Row],[NIP]],nip_firm612[],2,FALSE)</f>
        <v>FERMILAB</v>
      </c>
      <c r="L101" s="1" t="str">
        <f>_xlfn.CONCAT(uslugi411[[#This Row],[ozn]:[nr]])</f>
        <v>DGRV720</v>
      </c>
    </row>
    <row r="102" spans="1:12" x14ac:dyDescent="0.25">
      <c r="A102" s="5" t="s">
        <v>272</v>
      </c>
      <c r="B102" s="6" t="s">
        <v>273</v>
      </c>
      <c r="C102" s="6" t="s">
        <v>274</v>
      </c>
      <c r="D102" s="7" t="s">
        <v>7</v>
      </c>
      <c r="F102">
        <v>4241680809</v>
      </c>
      <c r="G102" s="1" t="s">
        <v>636</v>
      </c>
      <c r="H102" s="1" t="s">
        <v>1182</v>
      </c>
      <c r="I102" s="1" t="s">
        <v>1081</v>
      </c>
      <c r="J102">
        <v>3056</v>
      </c>
      <c r="K102" s="1" t="str">
        <f>VLOOKUP(uslugi411[[#This Row],[NIP]],nip_firm612[],2,FALSE)</f>
        <v>WROCBUD4</v>
      </c>
      <c r="L102" s="1" t="str">
        <f>_xlfn.CONCAT(uslugi411[[#This Row],[ozn]:[nr]])</f>
        <v>PORL351</v>
      </c>
    </row>
    <row r="103" spans="1:12" x14ac:dyDescent="0.25">
      <c r="A103" s="2" t="s">
        <v>275</v>
      </c>
      <c r="B103" s="3" t="s">
        <v>276</v>
      </c>
      <c r="C103" s="3" t="s">
        <v>277</v>
      </c>
      <c r="D103" s="4" t="s">
        <v>7</v>
      </c>
      <c r="F103">
        <v>2599394621</v>
      </c>
      <c r="G103" s="1" t="s">
        <v>636</v>
      </c>
      <c r="H103" s="1" t="s">
        <v>1183</v>
      </c>
      <c r="I103" s="1" t="s">
        <v>1087</v>
      </c>
      <c r="J103">
        <v>2818</v>
      </c>
      <c r="K103" s="1" t="str">
        <f>VLOOKUP(uslugi411[[#This Row],[NIP]],nip_firm612[],2,FALSE)</f>
        <v>OLECKO</v>
      </c>
      <c r="L103" s="1" t="str">
        <f>_xlfn.CONCAT(uslugi411[[#This Row],[ozn]:[nr]])</f>
        <v>POCS552</v>
      </c>
    </row>
    <row r="104" spans="1:12" x14ac:dyDescent="0.25">
      <c r="A104" s="5" t="s">
        <v>278</v>
      </c>
      <c r="B104" s="6" t="s">
        <v>279</v>
      </c>
      <c r="C104" s="6" t="s">
        <v>280</v>
      </c>
      <c r="D104" s="7" t="s">
        <v>7</v>
      </c>
      <c r="F104">
        <v>5115061689</v>
      </c>
      <c r="G104" s="1" t="s">
        <v>702</v>
      </c>
      <c r="H104" s="1" t="s">
        <v>1184</v>
      </c>
      <c r="I104" s="1" t="s">
        <v>1081</v>
      </c>
      <c r="J104">
        <v>3144</v>
      </c>
      <c r="K104" s="1" t="str">
        <f>VLOOKUP(uslugi411[[#This Row],[NIP]],nip_firm612[],2,FALSE)</f>
        <v>BETON-STAL</v>
      </c>
      <c r="L104" s="1" t="str">
        <f>_xlfn.CONCAT(uslugi411[[#This Row],[ozn]:[nr]])</f>
        <v>SL16892</v>
      </c>
    </row>
    <row r="105" spans="1:12" x14ac:dyDescent="0.25">
      <c r="A105" s="2" t="s">
        <v>281</v>
      </c>
      <c r="B105" s="3" t="s">
        <v>282</v>
      </c>
      <c r="C105" s="3" t="s">
        <v>283</v>
      </c>
      <c r="D105" s="4" t="s">
        <v>7</v>
      </c>
      <c r="F105">
        <v>3568004264</v>
      </c>
      <c r="G105" s="1" t="s">
        <v>428</v>
      </c>
      <c r="H105" s="1" t="s">
        <v>1185</v>
      </c>
      <c r="I105" s="1" t="s">
        <v>1087</v>
      </c>
      <c r="J105">
        <v>3060</v>
      </c>
      <c r="K105" s="1" t="str">
        <f>VLOOKUP(uslugi411[[#This Row],[NIP]],nip_firm612[],2,FALSE)</f>
        <v>MURATOR</v>
      </c>
      <c r="L105" s="1" t="str">
        <f>_xlfn.CONCAT(uslugi411[[#This Row],[ozn]:[nr]])</f>
        <v>LUB65ED</v>
      </c>
    </row>
    <row r="106" spans="1:12" x14ac:dyDescent="0.25">
      <c r="A106" s="5" t="s">
        <v>284</v>
      </c>
      <c r="B106" s="6" t="s">
        <v>285</v>
      </c>
      <c r="C106" s="6" t="s">
        <v>285</v>
      </c>
      <c r="D106" s="7" t="s">
        <v>22</v>
      </c>
      <c r="F106">
        <v>3470453173</v>
      </c>
      <c r="G106" s="1" t="s">
        <v>85</v>
      </c>
      <c r="H106" s="1" t="s">
        <v>1186</v>
      </c>
      <c r="I106" s="1" t="s">
        <v>1081</v>
      </c>
      <c r="J106">
        <v>1866</v>
      </c>
      <c r="K106" s="1" t="str">
        <f>VLOOKUP(uslugi411[[#This Row],[NIP]],nip_firm612[],2,FALSE)</f>
        <v>MASPOL</v>
      </c>
      <c r="L106" s="1" t="str">
        <f>_xlfn.CONCAT(uslugi411[[#This Row],[ozn]:[nr]])</f>
        <v>LC7897N</v>
      </c>
    </row>
    <row r="107" spans="1:12" x14ac:dyDescent="0.25">
      <c r="A107" s="2" t="s">
        <v>286</v>
      </c>
      <c r="B107" s="3" t="s">
        <v>287</v>
      </c>
      <c r="C107" s="3" t="s">
        <v>285</v>
      </c>
      <c r="D107" s="4" t="s">
        <v>7</v>
      </c>
      <c r="F107">
        <v>2119268767</v>
      </c>
      <c r="G107" s="1" t="s">
        <v>141</v>
      </c>
      <c r="H107" s="1" t="s">
        <v>1187</v>
      </c>
      <c r="I107" s="1" t="s">
        <v>1087</v>
      </c>
      <c r="J107">
        <v>2928</v>
      </c>
      <c r="K107" s="1" t="str">
        <f>VLOOKUP(uslugi411[[#This Row],[NIP]],nip_firm612[],2,FALSE)</f>
        <v>PETROLEUM</v>
      </c>
      <c r="L107" s="1" t="str">
        <f>_xlfn.CONCAT(uslugi411[[#This Row],[ozn]:[nr]])</f>
        <v>NEBT606</v>
      </c>
    </row>
    <row r="108" spans="1:12" x14ac:dyDescent="0.25">
      <c r="A108" s="5" t="s">
        <v>288</v>
      </c>
      <c r="B108" s="6" t="s">
        <v>289</v>
      </c>
      <c r="C108" s="6" t="s">
        <v>290</v>
      </c>
      <c r="D108" s="7" t="s">
        <v>7</v>
      </c>
      <c r="F108">
        <v>1246489959</v>
      </c>
      <c r="G108" s="1" t="s">
        <v>636</v>
      </c>
      <c r="H108" s="1" t="s">
        <v>1188</v>
      </c>
      <c r="I108" s="1" t="s">
        <v>1087</v>
      </c>
      <c r="J108">
        <v>2590</v>
      </c>
      <c r="K108" s="1" t="str">
        <f>VLOOKUP(uslugi411[[#This Row],[NIP]],nip_firm612[],2,FALSE)</f>
        <v>MIEDZYRZECZ</v>
      </c>
      <c r="L108" s="1" t="str">
        <f>_xlfn.CONCAT(uslugi411[[#This Row],[ozn]:[nr]])</f>
        <v>POM54EB</v>
      </c>
    </row>
    <row r="109" spans="1:12" x14ac:dyDescent="0.25">
      <c r="A109" s="2" t="s">
        <v>291</v>
      </c>
      <c r="B109" s="3" t="s">
        <v>292</v>
      </c>
      <c r="C109" s="3" t="s">
        <v>293</v>
      </c>
      <c r="D109" s="4" t="s">
        <v>7</v>
      </c>
      <c r="F109">
        <v>4779174699</v>
      </c>
      <c r="G109" s="1" t="s">
        <v>1003</v>
      </c>
      <c r="H109" s="1" t="s">
        <v>1189</v>
      </c>
      <c r="I109" s="1" t="s">
        <v>1081</v>
      </c>
      <c r="J109">
        <v>2445</v>
      </c>
      <c r="K109" s="1" t="str">
        <f>VLOOKUP(uslugi411[[#This Row],[NIP]],nip_firm612[],2,FALSE)</f>
        <v>FASO</v>
      </c>
      <c r="L109" s="1" t="str">
        <f>_xlfn.CONCAT(uslugi411[[#This Row],[ozn]:[nr]])</f>
        <v>DW3871D</v>
      </c>
    </row>
    <row r="110" spans="1:12" x14ac:dyDescent="0.25">
      <c r="A110" s="5" t="s">
        <v>294</v>
      </c>
      <c r="B110" s="6" t="s">
        <v>295</v>
      </c>
      <c r="C110" s="6" t="s">
        <v>296</v>
      </c>
      <c r="D110" s="7" t="s">
        <v>7</v>
      </c>
      <c r="F110">
        <v>4715154852</v>
      </c>
      <c r="G110" s="1" t="s">
        <v>1003</v>
      </c>
      <c r="H110" s="1" t="s">
        <v>1190</v>
      </c>
      <c r="I110" s="1" t="s">
        <v>1081</v>
      </c>
      <c r="J110">
        <v>2780</v>
      </c>
      <c r="K110" s="1" t="str">
        <f>VLOOKUP(uslugi411[[#This Row],[NIP]],nip_firm612[],2,FALSE)</f>
        <v>NAFTO-GAZ</v>
      </c>
      <c r="L110" s="1" t="str">
        <f>_xlfn.CONCAT(uslugi411[[#This Row],[ozn]:[nr]])</f>
        <v>DW579W</v>
      </c>
    </row>
    <row r="111" spans="1:12" x14ac:dyDescent="0.25">
      <c r="A111" s="2" t="s">
        <v>297</v>
      </c>
      <c r="B111" s="3" t="s">
        <v>298</v>
      </c>
      <c r="C111" s="3" t="s">
        <v>299</v>
      </c>
      <c r="D111" s="4" t="s">
        <v>7</v>
      </c>
      <c r="F111">
        <v>3568004264</v>
      </c>
      <c r="G111" s="1" t="s">
        <v>428</v>
      </c>
      <c r="H111" s="1" t="s">
        <v>1191</v>
      </c>
      <c r="I111" s="1" t="s">
        <v>1081</v>
      </c>
      <c r="J111">
        <v>2720</v>
      </c>
      <c r="K111" s="1" t="str">
        <f>VLOOKUP(uslugi411[[#This Row],[NIP]],nip_firm612[],2,FALSE)</f>
        <v>MURATOR</v>
      </c>
      <c r="L111" s="1" t="str">
        <f>_xlfn.CONCAT(uslugi411[[#This Row],[ozn]:[nr]])</f>
        <v>LUB61XF</v>
      </c>
    </row>
    <row r="112" spans="1:12" x14ac:dyDescent="0.25">
      <c r="A112" s="5" t="s">
        <v>300</v>
      </c>
      <c r="B112" s="6" t="s">
        <v>301</v>
      </c>
      <c r="C112" s="6" t="s">
        <v>302</v>
      </c>
      <c r="D112" s="7" t="s">
        <v>7</v>
      </c>
      <c r="F112">
        <v>5514533376</v>
      </c>
      <c r="G112" s="1" t="s">
        <v>40</v>
      </c>
      <c r="H112" s="1" t="s">
        <v>1192</v>
      </c>
      <c r="I112" s="1" t="s">
        <v>1087</v>
      </c>
      <c r="J112">
        <v>2136</v>
      </c>
      <c r="K112" s="1" t="str">
        <f>VLOOKUP(uslugi411[[#This Row],[NIP]],nip_firm612[],2,FALSE)</f>
        <v>BYTOM2</v>
      </c>
      <c r="L112" s="1" t="str">
        <f>_xlfn.CONCAT(uslugi411[[#This Row],[ozn]:[nr]])</f>
        <v>SB26092</v>
      </c>
    </row>
    <row r="113" spans="1:12" x14ac:dyDescent="0.25">
      <c r="A113" s="2" t="s">
        <v>303</v>
      </c>
      <c r="B113" s="3" t="s">
        <v>304</v>
      </c>
      <c r="C113" s="3" t="s">
        <v>305</v>
      </c>
      <c r="D113" s="4" t="s">
        <v>7</v>
      </c>
      <c r="F113">
        <v>5528435390</v>
      </c>
      <c r="G113" s="1" t="s">
        <v>636</v>
      </c>
      <c r="H113" s="1" t="s">
        <v>1193</v>
      </c>
      <c r="I113" s="1" t="s">
        <v>1081</v>
      </c>
      <c r="J113">
        <v>2328</v>
      </c>
      <c r="K113" s="1" t="str">
        <f>VLOOKUP(uslugi411[[#This Row],[NIP]],nip_firm612[],2,FALSE)</f>
        <v>ZABER</v>
      </c>
      <c r="L113" s="1" t="str">
        <f>_xlfn.CONCAT(uslugi411[[#This Row],[ozn]:[nr]])</f>
        <v>POA44GU</v>
      </c>
    </row>
    <row r="114" spans="1:12" x14ac:dyDescent="0.25">
      <c r="A114" s="5" t="s">
        <v>306</v>
      </c>
      <c r="B114" s="6" t="s">
        <v>307</v>
      </c>
      <c r="C114" s="6" t="s">
        <v>308</v>
      </c>
      <c r="D114" s="7" t="s">
        <v>7</v>
      </c>
      <c r="F114">
        <v>4779174699</v>
      </c>
      <c r="G114" s="1" t="s">
        <v>1003</v>
      </c>
      <c r="H114" s="1" t="s">
        <v>1194</v>
      </c>
      <c r="I114" s="1" t="s">
        <v>1081</v>
      </c>
      <c r="J114">
        <v>2920</v>
      </c>
      <c r="K114" s="1" t="str">
        <f>VLOOKUP(uslugi411[[#This Row],[NIP]],nip_firm612[],2,FALSE)</f>
        <v>FASO</v>
      </c>
      <c r="L114" s="1" t="str">
        <f>_xlfn.CONCAT(uslugi411[[#This Row],[ozn]:[nr]])</f>
        <v>DW16842</v>
      </c>
    </row>
    <row r="115" spans="1:12" x14ac:dyDescent="0.25">
      <c r="A115" s="2" t="s">
        <v>309</v>
      </c>
      <c r="B115" s="3" t="s">
        <v>310</v>
      </c>
      <c r="C115" s="3" t="s">
        <v>311</v>
      </c>
      <c r="D115" s="4" t="s">
        <v>7</v>
      </c>
      <c r="F115">
        <v>4326751508</v>
      </c>
      <c r="G115" s="1" t="s">
        <v>405</v>
      </c>
      <c r="H115" s="1" t="s">
        <v>1195</v>
      </c>
      <c r="I115" s="1" t="s">
        <v>1087</v>
      </c>
      <c r="J115">
        <v>3324</v>
      </c>
      <c r="K115" s="1" t="str">
        <f>VLOOKUP(uslugi411[[#This Row],[NIP]],nip_firm612[],2,FALSE)</f>
        <v>WROCBUD2</v>
      </c>
      <c r="L115" s="1" t="str">
        <f>_xlfn.CONCAT(uslugi411[[#This Row],[ozn]:[nr]])</f>
        <v>EL64243</v>
      </c>
    </row>
    <row r="116" spans="1:12" x14ac:dyDescent="0.25">
      <c r="A116" s="5" t="s">
        <v>312</v>
      </c>
      <c r="B116" s="6" t="s">
        <v>313</v>
      </c>
      <c r="C116" s="6" t="s">
        <v>313</v>
      </c>
      <c r="D116" s="7" t="s">
        <v>22</v>
      </c>
      <c r="F116">
        <v>1620242236</v>
      </c>
      <c r="G116" s="1" t="s">
        <v>314</v>
      </c>
      <c r="H116" s="1" t="s">
        <v>1196</v>
      </c>
      <c r="I116" s="1" t="s">
        <v>1081</v>
      </c>
      <c r="J116">
        <v>2915</v>
      </c>
      <c r="K116" s="1" t="str">
        <f>VLOOKUP(uslugi411[[#This Row],[NIP]],nip_firm612[],2,FALSE)</f>
        <v>WIET-IND</v>
      </c>
      <c r="L116" s="1" t="str">
        <f>_xlfn.CONCAT(uslugi411[[#This Row],[ozn]:[nr]])</f>
        <v>PN16906</v>
      </c>
    </row>
    <row r="117" spans="1:12" x14ac:dyDescent="0.25">
      <c r="A117" s="2" t="s">
        <v>314</v>
      </c>
      <c r="B117" s="3" t="s">
        <v>313</v>
      </c>
      <c r="C117" s="3" t="s">
        <v>313</v>
      </c>
      <c r="D117" s="4" t="s">
        <v>22</v>
      </c>
      <c r="F117">
        <v>6758177505</v>
      </c>
      <c r="G117" s="1" t="s">
        <v>862</v>
      </c>
      <c r="H117" s="1" t="s">
        <v>1197</v>
      </c>
      <c r="I117" s="1" t="s">
        <v>1087</v>
      </c>
      <c r="J117">
        <v>1930</v>
      </c>
      <c r="K117" s="1" t="str">
        <f>VLOOKUP(uslugi411[[#This Row],[NIP]],nip_firm612[],2,FALSE)</f>
        <v>WERTIX</v>
      </c>
      <c r="L117" s="1" t="str">
        <f>_xlfn.CONCAT(uslugi411[[#This Row],[ozn]:[nr]])</f>
        <v>RTA556V</v>
      </c>
    </row>
    <row r="118" spans="1:12" x14ac:dyDescent="0.25">
      <c r="A118" s="5" t="s">
        <v>315</v>
      </c>
      <c r="B118" s="6" t="s">
        <v>316</v>
      </c>
      <c r="C118" s="6" t="s">
        <v>313</v>
      </c>
      <c r="D118" s="7" t="s">
        <v>7</v>
      </c>
      <c r="F118">
        <v>6727559092</v>
      </c>
      <c r="G118" s="1" t="s">
        <v>862</v>
      </c>
      <c r="H118" s="1" t="s">
        <v>1198</v>
      </c>
      <c r="I118" s="1" t="s">
        <v>1087</v>
      </c>
      <c r="J118">
        <v>2361</v>
      </c>
      <c r="K118" s="1" t="str">
        <f>VLOOKUP(uslugi411[[#This Row],[NIP]],nip_firm612[],2,FALSE)</f>
        <v>ANDROPOL SP. Z. O. O.</v>
      </c>
      <c r="L118" s="1" t="str">
        <f>_xlfn.CONCAT(uslugi411[[#This Row],[ozn]:[nr]])</f>
        <v>RTA246F</v>
      </c>
    </row>
    <row r="119" spans="1:12" x14ac:dyDescent="0.25">
      <c r="A119" s="2" t="s">
        <v>317</v>
      </c>
      <c r="B119" s="3" t="s">
        <v>318</v>
      </c>
      <c r="C119" s="3" t="s">
        <v>319</v>
      </c>
      <c r="D119" s="4" t="s">
        <v>7</v>
      </c>
      <c r="F119">
        <v>4241680809</v>
      </c>
      <c r="G119" s="1" t="s">
        <v>636</v>
      </c>
      <c r="H119" s="1" t="s">
        <v>1199</v>
      </c>
      <c r="I119" s="1" t="s">
        <v>1087</v>
      </c>
      <c r="J119">
        <v>1863</v>
      </c>
      <c r="K119" s="1" t="str">
        <f>VLOOKUP(uslugi411[[#This Row],[NIP]],nip_firm612[],2,FALSE)</f>
        <v>WROCBUD4</v>
      </c>
      <c r="L119" s="1" t="str">
        <f>_xlfn.CONCAT(uslugi411[[#This Row],[ozn]:[nr]])</f>
        <v>POR79LM</v>
      </c>
    </row>
    <row r="120" spans="1:12" x14ac:dyDescent="0.25">
      <c r="A120" s="5" t="s">
        <v>320</v>
      </c>
      <c r="B120" s="6" t="s">
        <v>321</v>
      </c>
      <c r="C120" s="6" t="s">
        <v>322</v>
      </c>
      <c r="D120" s="7" t="s">
        <v>7</v>
      </c>
      <c r="F120">
        <v>4326751508</v>
      </c>
      <c r="G120" s="1" t="s">
        <v>40</v>
      </c>
      <c r="H120" s="1" t="s">
        <v>1200</v>
      </c>
      <c r="I120" s="1" t="s">
        <v>1081</v>
      </c>
      <c r="J120">
        <v>2420</v>
      </c>
      <c r="K120" s="1" t="str">
        <f>VLOOKUP(uslugi411[[#This Row],[NIP]],nip_firm612[],2,FALSE)</f>
        <v>WROCBUD2</v>
      </c>
      <c r="L120" s="1" t="str">
        <f>_xlfn.CONCAT(uslugi411[[#This Row],[ozn]:[nr]])</f>
        <v>SB48689</v>
      </c>
    </row>
    <row r="121" spans="1:12" x14ac:dyDescent="0.25">
      <c r="A121" s="2" t="s">
        <v>323</v>
      </c>
      <c r="B121" s="3" t="s">
        <v>324</v>
      </c>
      <c r="C121" s="3" t="s">
        <v>324</v>
      </c>
      <c r="D121" s="4" t="s">
        <v>22</v>
      </c>
      <c r="F121">
        <v>3470453173</v>
      </c>
      <c r="G121" s="1" t="s">
        <v>85</v>
      </c>
      <c r="H121" s="1" t="s">
        <v>1201</v>
      </c>
      <c r="I121" s="1" t="s">
        <v>1087</v>
      </c>
      <c r="J121">
        <v>2625</v>
      </c>
      <c r="K121" s="1" t="str">
        <f>VLOOKUP(uslugi411[[#This Row],[NIP]],nip_firm612[],2,FALSE)</f>
        <v>MASPOL</v>
      </c>
      <c r="L121" s="1" t="str">
        <f>_xlfn.CONCAT(uslugi411[[#This Row],[ozn]:[nr]])</f>
        <v>LC34572</v>
      </c>
    </row>
    <row r="122" spans="1:12" x14ac:dyDescent="0.25">
      <c r="A122" s="5" t="s">
        <v>325</v>
      </c>
      <c r="B122" s="6" t="s">
        <v>326</v>
      </c>
      <c r="C122" s="6" t="s">
        <v>324</v>
      </c>
      <c r="D122" s="7" t="s">
        <v>7</v>
      </c>
      <c r="F122">
        <v>3579231044</v>
      </c>
      <c r="G122" s="1" t="s">
        <v>370</v>
      </c>
      <c r="H122" s="1" t="s">
        <v>1202</v>
      </c>
      <c r="I122" s="1" t="s">
        <v>1087</v>
      </c>
      <c r="J122">
        <v>2314</v>
      </c>
      <c r="K122" s="1" t="str">
        <f>VLOOKUP(uslugi411[[#This Row],[NIP]],nip_firm612[],2,FALSE)</f>
        <v>BAZALT S. A.</v>
      </c>
      <c r="L122" s="1" t="str">
        <f>_xlfn.CONCAT(uslugi411[[#This Row],[ozn]:[nr]])</f>
        <v>LLEG712</v>
      </c>
    </row>
    <row r="123" spans="1:12" x14ac:dyDescent="0.25">
      <c r="A123" s="2" t="s">
        <v>327</v>
      </c>
      <c r="B123" s="3" t="s">
        <v>328</v>
      </c>
      <c r="C123" s="3" t="s">
        <v>329</v>
      </c>
      <c r="D123" s="4" t="s">
        <v>7</v>
      </c>
      <c r="F123">
        <v>2119268767</v>
      </c>
      <c r="G123" s="1" t="s">
        <v>141</v>
      </c>
      <c r="H123" s="1" t="s">
        <v>1203</v>
      </c>
      <c r="I123" s="1" t="s">
        <v>1087</v>
      </c>
      <c r="J123">
        <v>2340</v>
      </c>
      <c r="K123" s="1" t="str">
        <f>VLOOKUP(uslugi411[[#This Row],[NIP]],nip_firm612[],2,FALSE)</f>
        <v>PETROLEUM</v>
      </c>
      <c r="L123" s="1" t="str">
        <f>_xlfn.CONCAT(uslugi411[[#This Row],[ozn]:[nr]])</f>
        <v>NEB57SX</v>
      </c>
    </row>
    <row r="124" spans="1:12" x14ac:dyDescent="0.25">
      <c r="A124" s="5" t="s">
        <v>330</v>
      </c>
      <c r="B124" s="6" t="s">
        <v>331</v>
      </c>
      <c r="C124" s="6" t="s">
        <v>331</v>
      </c>
      <c r="D124" s="7" t="s">
        <v>22</v>
      </c>
      <c r="F124">
        <v>1620242236</v>
      </c>
      <c r="G124" s="1" t="s">
        <v>314</v>
      </c>
      <c r="H124" s="1" t="s">
        <v>1204</v>
      </c>
      <c r="I124" s="1" t="s">
        <v>1081</v>
      </c>
      <c r="J124">
        <v>2181</v>
      </c>
      <c r="K124" s="1" t="str">
        <f>VLOOKUP(uslugi411[[#This Row],[NIP]],nip_firm612[],2,FALSE)</f>
        <v>WIET-IND</v>
      </c>
      <c r="L124" s="1" t="str">
        <f>_xlfn.CONCAT(uslugi411[[#This Row],[ozn]:[nr]])</f>
        <v>PN4101U</v>
      </c>
    </row>
    <row r="125" spans="1:12" x14ac:dyDescent="0.25">
      <c r="A125" s="2" t="s">
        <v>332</v>
      </c>
      <c r="B125" s="3" t="s">
        <v>333</v>
      </c>
      <c r="C125" s="3" t="s">
        <v>331</v>
      </c>
      <c r="D125" s="4" t="s">
        <v>7</v>
      </c>
      <c r="F125">
        <v>4326751508</v>
      </c>
      <c r="G125" s="1" t="s">
        <v>40</v>
      </c>
      <c r="H125" s="1" t="s">
        <v>1205</v>
      </c>
      <c r="I125" s="1" t="s">
        <v>1081</v>
      </c>
      <c r="J125">
        <v>2800</v>
      </c>
      <c r="K125" s="1" t="str">
        <f>VLOOKUP(uslugi411[[#This Row],[NIP]],nip_firm612[],2,FALSE)</f>
        <v>WROCBUD2</v>
      </c>
      <c r="L125" s="1" t="str">
        <f>_xlfn.CONCAT(uslugi411[[#This Row],[ozn]:[nr]])</f>
        <v>SB45356</v>
      </c>
    </row>
    <row r="126" spans="1:12" x14ac:dyDescent="0.25">
      <c r="A126" s="5" t="s">
        <v>334</v>
      </c>
      <c r="B126" s="6" t="s">
        <v>335</v>
      </c>
      <c r="C126" s="6" t="s">
        <v>336</v>
      </c>
      <c r="D126" s="7" t="s">
        <v>7</v>
      </c>
      <c r="F126">
        <v>1278408463</v>
      </c>
      <c r="G126" s="1" t="s">
        <v>312</v>
      </c>
      <c r="H126" s="1" t="s">
        <v>1206</v>
      </c>
      <c r="I126" s="1" t="s">
        <v>1087</v>
      </c>
      <c r="J126">
        <v>2589</v>
      </c>
      <c r="K126" s="1" t="str">
        <f>VLOOKUP(uslugi411[[#This Row],[NIP]],nip_firm612[],2,FALSE)</f>
        <v>REFAMUR</v>
      </c>
      <c r="L126" s="1" t="str">
        <f>_xlfn.CONCAT(uslugi411[[#This Row],[ozn]:[nr]])</f>
        <v>PKO27LS</v>
      </c>
    </row>
    <row r="127" spans="1:12" x14ac:dyDescent="0.25">
      <c r="A127" s="2" t="s">
        <v>337</v>
      </c>
      <c r="B127" s="3" t="s">
        <v>338</v>
      </c>
      <c r="C127" s="3" t="s">
        <v>339</v>
      </c>
      <c r="D127" s="4" t="s">
        <v>7</v>
      </c>
      <c r="F127">
        <v>1939065269</v>
      </c>
      <c r="G127" s="1" t="s">
        <v>636</v>
      </c>
      <c r="H127" s="1" t="s">
        <v>1207</v>
      </c>
      <c r="I127" s="1" t="s">
        <v>1081</v>
      </c>
      <c r="J127">
        <v>2360</v>
      </c>
      <c r="K127" s="1" t="str">
        <f>VLOOKUP(uslugi411[[#This Row],[NIP]],nip_firm612[],2,FALSE)</f>
        <v>KUSTMASZ</v>
      </c>
      <c r="L127" s="1" t="str">
        <f>_xlfn.CONCAT(uslugi411[[#This Row],[ozn]:[nr]])</f>
        <v>PO3931S</v>
      </c>
    </row>
    <row r="128" spans="1:12" x14ac:dyDescent="0.25">
      <c r="A128" s="5" t="s">
        <v>340</v>
      </c>
      <c r="B128" s="6" t="s">
        <v>341</v>
      </c>
      <c r="C128" s="6" t="s">
        <v>342</v>
      </c>
      <c r="D128" s="7" t="s">
        <v>7</v>
      </c>
      <c r="F128">
        <v>3783578981</v>
      </c>
      <c r="G128" s="1" t="s">
        <v>405</v>
      </c>
      <c r="H128" s="1" t="s">
        <v>1208</v>
      </c>
      <c r="I128" s="1" t="s">
        <v>1087</v>
      </c>
      <c r="J128">
        <v>2185</v>
      </c>
      <c r="K128" s="1" t="str">
        <f>VLOOKUP(uslugi411[[#This Row],[NIP]],nip_firm612[],2,FALSE)</f>
        <v>LUBEX</v>
      </c>
      <c r="L128" s="1" t="str">
        <f>_xlfn.CONCAT(uslugi411[[#This Row],[ozn]:[nr]])</f>
        <v>EL28314</v>
      </c>
    </row>
    <row r="129" spans="1:12" x14ac:dyDescent="0.25">
      <c r="A129" s="2" t="s">
        <v>343</v>
      </c>
      <c r="B129" s="3" t="s">
        <v>344</v>
      </c>
      <c r="C129" s="3" t="s">
        <v>345</v>
      </c>
      <c r="D129" s="4" t="s">
        <v>7</v>
      </c>
      <c r="F129">
        <v>4241680809</v>
      </c>
      <c r="G129" s="1" t="s">
        <v>636</v>
      </c>
      <c r="H129" s="1" t="s">
        <v>1209</v>
      </c>
      <c r="I129" s="1" t="s">
        <v>1081</v>
      </c>
      <c r="J129">
        <v>2319</v>
      </c>
      <c r="K129" s="1" t="str">
        <f>VLOOKUP(uslugi411[[#This Row],[NIP]],nip_firm612[],2,FALSE)</f>
        <v>WROCBUD4</v>
      </c>
      <c r="L129" s="1" t="str">
        <f>_xlfn.CONCAT(uslugi411[[#This Row],[ozn]:[nr]])</f>
        <v>PORK350</v>
      </c>
    </row>
    <row r="130" spans="1:12" x14ac:dyDescent="0.25">
      <c r="A130" s="5" t="s">
        <v>346</v>
      </c>
      <c r="B130" s="6" t="s">
        <v>344</v>
      </c>
      <c r="C130" s="6" t="s">
        <v>347</v>
      </c>
      <c r="D130" s="7" t="s">
        <v>7</v>
      </c>
      <c r="F130">
        <v>4761158900</v>
      </c>
      <c r="G130" s="1" t="s">
        <v>294</v>
      </c>
      <c r="H130" s="1" t="s">
        <v>1210</v>
      </c>
      <c r="I130" s="1" t="s">
        <v>1081</v>
      </c>
      <c r="J130">
        <v>2208</v>
      </c>
      <c r="K130" s="1" t="str">
        <f>VLOOKUP(uslugi411[[#This Row],[NIP]],nip_firm612[],2,FALSE)</f>
        <v>WROCBUD3</v>
      </c>
      <c r="L130" s="1" t="str">
        <f>_xlfn.CONCAT(uslugi411[[#This Row],[ozn]:[nr]])</f>
        <v>OKL86463</v>
      </c>
    </row>
    <row r="131" spans="1:12" x14ac:dyDescent="0.25">
      <c r="A131" s="2" t="s">
        <v>348</v>
      </c>
      <c r="B131" s="3" t="s">
        <v>345</v>
      </c>
      <c r="C131" s="3" t="s">
        <v>345</v>
      </c>
      <c r="D131" s="4" t="s">
        <v>22</v>
      </c>
      <c r="F131">
        <v>3866883575</v>
      </c>
      <c r="G131" s="1" t="s">
        <v>434</v>
      </c>
      <c r="H131" s="1" t="s">
        <v>1211</v>
      </c>
      <c r="I131" s="1" t="s">
        <v>1087</v>
      </c>
      <c r="J131">
        <v>1520</v>
      </c>
      <c r="K131" s="1" t="str">
        <f>VLOOKUP(uslugi411[[#This Row],[NIP]],nip_firm612[],2,FALSE)</f>
        <v>KPICO</v>
      </c>
      <c r="L131" s="1" t="str">
        <f>_xlfn.CONCAT(uslugi411[[#This Row],[ozn]:[nr]])</f>
        <v>LU3581R</v>
      </c>
    </row>
    <row r="132" spans="1:12" x14ac:dyDescent="0.25">
      <c r="A132" s="5" t="s">
        <v>349</v>
      </c>
      <c r="B132" s="6" t="s">
        <v>350</v>
      </c>
      <c r="C132" s="6" t="s">
        <v>351</v>
      </c>
      <c r="D132" s="7" t="s">
        <v>7</v>
      </c>
      <c r="F132">
        <v>1127056356</v>
      </c>
      <c r="G132" s="1" t="s">
        <v>317</v>
      </c>
      <c r="H132" s="1" t="s">
        <v>1212</v>
      </c>
      <c r="I132" s="1" t="s">
        <v>1081</v>
      </c>
      <c r="J132">
        <v>2050</v>
      </c>
      <c r="K132" s="1" t="str">
        <f>VLOOKUP(uslugi411[[#This Row],[NIP]],nip_firm612[],2,FALSE)</f>
        <v>KONSBET</v>
      </c>
      <c r="L132" s="1" t="str">
        <f>_xlfn.CONCAT(uslugi411[[#This Row],[ozn]:[nr]])</f>
        <v>PKSS566</v>
      </c>
    </row>
    <row r="133" spans="1:12" x14ac:dyDescent="0.25">
      <c r="A133" s="2" t="s">
        <v>352</v>
      </c>
      <c r="B133" s="3" t="s">
        <v>353</v>
      </c>
      <c r="C133" s="3" t="s">
        <v>354</v>
      </c>
      <c r="D133" s="4" t="s">
        <v>7</v>
      </c>
      <c r="F133">
        <v>1620242236</v>
      </c>
      <c r="G133" s="1" t="s">
        <v>314</v>
      </c>
      <c r="H133" s="1" t="s">
        <v>1213</v>
      </c>
      <c r="I133" s="1" t="s">
        <v>1087</v>
      </c>
      <c r="J133">
        <v>2336</v>
      </c>
      <c r="K133" s="1" t="str">
        <f>VLOOKUP(uslugi411[[#This Row],[NIP]],nip_firm612[],2,FALSE)</f>
        <v>WIET-IND</v>
      </c>
      <c r="L133" s="1" t="str">
        <f>_xlfn.CONCAT(uslugi411[[#This Row],[ozn]:[nr]])</f>
        <v>PN16904</v>
      </c>
    </row>
    <row r="134" spans="1:12" x14ac:dyDescent="0.25">
      <c r="A134" s="5" t="s">
        <v>355</v>
      </c>
      <c r="B134" s="6" t="s">
        <v>356</v>
      </c>
      <c r="C134" s="6" t="s">
        <v>357</v>
      </c>
      <c r="D134" s="7" t="s">
        <v>7</v>
      </c>
      <c r="F134">
        <v>6727559092</v>
      </c>
      <c r="G134" s="1" t="s">
        <v>862</v>
      </c>
      <c r="H134" s="1" t="s">
        <v>1214</v>
      </c>
      <c r="I134" s="1" t="s">
        <v>1087</v>
      </c>
      <c r="J134">
        <v>2034</v>
      </c>
      <c r="K134" s="1" t="str">
        <f>VLOOKUP(uslugi411[[#This Row],[NIP]],nip_firm612[],2,FALSE)</f>
        <v>ANDROPOL SP. Z. O. O.</v>
      </c>
      <c r="L134" s="1" t="str">
        <f>_xlfn.CONCAT(uslugi411[[#This Row],[ozn]:[nr]])</f>
        <v>RTA356J</v>
      </c>
    </row>
    <row r="135" spans="1:12" x14ac:dyDescent="0.25">
      <c r="A135" s="2" t="s">
        <v>358</v>
      </c>
      <c r="B135" s="3" t="s">
        <v>359</v>
      </c>
      <c r="C135" s="3" t="s">
        <v>360</v>
      </c>
      <c r="D135" s="4" t="s">
        <v>7</v>
      </c>
      <c r="F135">
        <v>3318203338</v>
      </c>
      <c r="G135" s="1" t="s">
        <v>636</v>
      </c>
      <c r="H135" s="1" t="s">
        <v>1215</v>
      </c>
      <c r="I135" s="1" t="s">
        <v>1087</v>
      </c>
      <c r="J135">
        <v>1900</v>
      </c>
      <c r="K135" s="1" t="str">
        <f>VLOOKUP(uslugi411[[#This Row],[NIP]],nip_firm612[],2,FALSE)</f>
        <v>LUBLIN1</v>
      </c>
      <c r="L135" s="1" t="str">
        <f>_xlfn.CONCAT(uslugi411[[#This Row],[ozn]:[nr]])</f>
        <v>POLD355</v>
      </c>
    </row>
    <row r="136" spans="1:12" x14ac:dyDescent="0.25">
      <c r="A136" s="5" t="s">
        <v>361</v>
      </c>
      <c r="B136" s="6" t="s">
        <v>362</v>
      </c>
      <c r="C136" s="6" t="s">
        <v>363</v>
      </c>
      <c r="D136" s="7" t="s">
        <v>7</v>
      </c>
      <c r="F136">
        <v>5185759244</v>
      </c>
      <c r="G136" s="1" t="s">
        <v>636</v>
      </c>
      <c r="H136" s="1" t="s">
        <v>1216</v>
      </c>
      <c r="I136" s="1" t="s">
        <v>1081</v>
      </c>
      <c r="J136">
        <v>2277</v>
      </c>
      <c r="K136" s="1" t="str">
        <f>VLOOKUP(uslugi411[[#This Row],[NIP]],nip_firm612[],2,FALSE)</f>
        <v>BYTOM1</v>
      </c>
      <c r="L136" s="1" t="str">
        <f>_xlfn.CONCAT(uslugi411[[#This Row],[ozn]:[nr]])</f>
        <v>POY30EJ</v>
      </c>
    </row>
    <row r="137" spans="1:12" x14ac:dyDescent="0.25">
      <c r="A137" s="2" t="s">
        <v>364</v>
      </c>
      <c r="B137" s="3" t="s">
        <v>365</v>
      </c>
      <c r="C137" s="3" t="s">
        <v>366</v>
      </c>
      <c r="D137" s="4" t="s">
        <v>7</v>
      </c>
      <c r="F137">
        <v>3866883575</v>
      </c>
      <c r="G137" s="1" t="s">
        <v>434</v>
      </c>
      <c r="H137" s="1" t="s">
        <v>1217</v>
      </c>
      <c r="I137" s="1" t="s">
        <v>1087</v>
      </c>
      <c r="J137">
        <v>2994</v>
      </c>
      <c r="K137" s="1" t="str">
        <f>VLOOKUP(uslugi411[[#This Row],[NIP]],nip_firm612[],2,FALSE)</f>
        <v>KPICO</v>
      </c>
      <c r="L137" s="1" t="str">
        <f>_xlfn.CONCAT(uslugi411[[#This Row],[ozn]:[nr]])</f>
        <v>LU3571C</v>
      </c>
    </row>
    <row r="138" spans="1:12" x14ac:dyDescent="0.25">
      <c r="A138" s="5" t="s">
        <v>367</v>
      </c>
      <c r="B138" s="6" t="s">
        <v>368</v>
      </c>
      <c r="C138" s="6" t="s">
        <v>369</v>
      </c>
      <c r="D138" s="7" t="s">
        <v>7</v>
      </c>
      <c r="F138">
        <v>6727559092</v>
      </c>
      <c r="G138" s="1" t="s">
        <v>862</v>
      </c>
      <c r="H138" s="1" t="s">
        <v>1218</v>
      </c>
      <c r="I138" s="1" t="s">
        <v>1087</v>
      </c>
      <c r="J138">
        <v>2315</v>
      </c>
      <c r="K138" s="1" t="str">
        <f>VLOOKUP(uslugi411[[#This Row],[NIP]],nip_firm612[],2,FALSE)</f>
        <v>ANDROPOL SP. Z. O. O.</v>
      </c>
      <c r="L138" s="1" t="str">
        <f>_xlfn.CONCAT(uslugi411[[#This Row],[ozn]:[nr]])</f>
        <v>RTA367J</v>
      </c>
    </row>
    <row r="139" spans="1:12" x14ac:dyDescent="0.25">
      <c r="A139" s="2" t="s">
        <v>370</v>
      </c>
      <c r="B139" s="3" t="s">
        <v>371</v>
      </c>
      <c r="C139" s="3" t="s">
        <v>372</v>
      </c>
      <c r="D139" s="4" t="s">
        <v>7</v>
      </c>
      <c r="F139">
        <v>1165493421</v>
      </c>
      <c r="G139" s="1" t="s">
        <v>636</v>
      </c>
      <c r="H139" s="1" t="s">
        <v>1219</v>
      </c>
      <c r="I139" s="1" t="s">
        <v>1087</v>
      </c>
      <c r="J139">
        <v>2560</v>
      </c>
      <c r="K139" s="1" t="str">
        <f>VLOOKUP(uslugi411[[#This Row],[NIP]],nip_firm612[],2,FALSE)</f>
        <v>LESZNO</v>
      </c>
      <c r="L139" s="1" t="str">
        <f>_xlfn.CONCAT(uslugi411[[#This Row],[ozn]:[nr]])</f>
        <v>POL74SB</v>
      </c>
    </row>
    <row r="140" spans="1:12" x14ac:dyDescent="0.25">
      <c r="A140" s="5" t="s">
        <v>373</v>
      </c>
      <c r="B140" s="6" t="s">
        <v>374</v>
      </c>
      <c r="C140" s="6" t="s">
        <v>375</v>
      </c>
      <c r="D140" s="7" t="s">
        <v>7</v>
      </c>
      <c r="F140">
        <v>4796841112</v>
      </c>
      <c r="G140" s="1" t="s">
        <v>533</v>
      </c>
      <c r="H140" s="1" t="s">
        <v>1220</v>
      </c>
      <c r="I140" s="1" t="s">
        <v>1087</v>
      </c>
      <c r="J140">
        <v>2391</v>
      </c>
      <c r="K140" s="1" t="str">
        <f>VLOOKUP(uslugi411[[#This Row],[NIP]],nip_firm612[],2,FALSE)</f>
        <v>WARM S. A.</v>
      </c>
      <c r="L140" s="1" t="str">
        <f>_xlfn.CONCAT(uslugi411[[#This Row],[ozn]:[nr]])</f>
        <v>DOAA682</v>
      </c>
    </row>
    <row r="141" spans="1:12" x14ac:dyDescent="0.25">
      <c r="A141" s="2" t="s">
        <v>376</v>
      </c>
      <c r="B141" s="3" t="s">
        <v>377</v>
      </c>
      <c r="C141" s="3" t="s">
        <v>377</v>
      </c>
      <c r="D141" s="4" t="s">
        <v>22</v>
      </c>
      <c r="F141">
        <v>5115061689</v>
      </c>
      <c r="G141" s="1" t="s">
        <v>702</v>
      </c>
      <c r="H141" s="1" t="s">
        <v>1221</v>
      </c>
      <c r="I141" s="1" t="s">
        <v>1087</v>
      </c>
      <c r="J141">
        <v>2085</v>
      </c>
      <c r="K141" s="1" t="str">
        <f>VLOOKUP(uslugi411[[#This Row],[NIP]],nip_firm612[],2,FALSE)</f>
        <v>BETON-STAL</v>
      </c>
      <c r="L141" s="1" t="str">
        <f>_xlfn.CONCAT(uslugi411[[#This Row],[ozn]:[nr]])</f>
        <v>SL16896</v>
      </c>
    </row>
    <row r="142" spans="1:12" x14ac:dyDescent="0.25">
      <c r="A142" s="5" t="s">
        <v>378</v>
      </c>
      <c r="B142" s="6" t="s">
        <v>379</v>
      </c>
      <c r="C142" s="6" t="s">
        <v>377</v>
      </c>
      <c r="D142" s="7" t="s">
        <v>7</v>
      </c>
      <c r="F142">
        <v>1599095267</v>
      </c>
      <c r="G142" s="1" t="s">
        <v>636</v>
      </c>
      <c r="H142" s="1" t="s">
        <v>1222</v>
      </c>
      <c r="I142" s="1" t="s">
        <v>1087</v>
      </c>
      <c r="J142">
        <v>2105</v>
      </c>
      <c r="K142" s="1" t="str">
        <f>VLOOKUP(uslugi411[[#This Row],[NIP]],nip_firm612[],2,FALSE)</f>
        <v>ZONAN</v>
      </c>
      <c r="L142" s="1" t="str">
        <f>_xlfn.CONCAT(uslugi411[[#This Row],[ozn]:[nr]])</f>
        <v>POPK128</v>
      </c>
    </row>
    <row r="143" spans="1:12" x14ac:dyDescent="0.25">
      <c r="A143" s="2" t="s">
        <v>380</v>
      </c>
      <c r="B143" s="3" t="s">
        <v>381</v>
      </c>
      <c r="C143" s="3" t="s">
        <v>382</v>
      </c>
      <c r="D143" s="4" t="s">
        <v>7</v>
      </c>
      <c r="F143">
        <v>3866883575</v>
      </c>
      <c r="G143" s="1" t="s">
        <v>434</v>
      </c>
      <c r="H143" s="1" t="s">
        <v>1223</v>
      </c>
      <c r="I143" s="1" t="s">
        <v>1087</v>
      </c>
      <c r="J143">
        <v>1928</v>
      </c>
      <c r="K143" s="1" t="str">
        <f>VLOOKUP(uslugi411[[#This Row],[NIP]],nip_firm612[],2,FALSE)</f>
        <v>KPICO</v>
      </c>
      <c r="L143" s="1" t="str">
        <f>_xlfn.CONCAT(uslugi411[[#This Row],[ozn]:[nr]])</f>
        <v>LU16788</v>
      </c>
    </row>
    <row r="144" spans="1:12" x14ac:dyDescent="0.25">
      <c r="A144" s="5" t="s">
        <v>383</v>
      </c>
      <c r="B144" s="6" t="s">
        <v>384</v>
      </c>
      <c r="C144" s="6" t="s">
        <v>385</v>
      </c>
      <c r="D144" s="7" t="s">
        <v>7</v>
      </c>
      <c r="F144">
        <v>4779174699</v>
      </c>
      <c r="G144" s="1" t="s">
        <v>1003</v>
      </c>
      <c r="H144" s="1" t="s">
        <v>1224</v>
      </c>
      <c r="I144" s="1" t="s">
        <v>1081</v>
      </c>
      <c r="J144">
        <v>1852</v>
      </c>
      <c r="K144" s="1" t="str">
        <f>VLOOKUP(uslugi411[[#This Row],[NIP]],nip_firm612[],2,FALSE)</f>
        <v>FASO</v>
      </c>
      <c r="L144" s="1" t="str">
        <f>_xlfn.CONCAT(uslugi411[[#This Row],[ozn]:[nr]])</f>
        <v>DW3901W</v>
      </c>
    </row>
    <row r="145" spans="1:12" x14ac:dyDescent="0.25">
      <c r="A145" s="2" t="s">
        <v>386</v>
      </c>
      <c r="B145" s="3" t="s">
        <v>385</v>
      </c>
      <c r="C145" s="3" t="s">
        <v>385</v>
      </c>
      <c r="D145" s="4" t="s">
        <v>22</v>
      </c>
      <c r="F145">
        <v>3866883575</v>
      </c>
      <c r="G145" s="1" t="s">
        <v>434</v>
      </c>
      <c r="H145" s="1" t="s">
        <v>1225</v>
      </c>
      <c r="I145" s="1" t="s">
        <v>1087</v>
      </c>
      <c r="J145">
        <v>2784</v>
      </c>
      <c r="K145" s="1" t="str">
        <f>VLOOKUP(uslugi411[[#This Row],[NIP]],nip_firm612[],2,FALSE)</f>
        <v>KPICO</v>
      </c>
      <c r="L145" s="1" t="str">
        <f>_xlfn.CONCAT(uslugi411[[#This Row],[ozn]:[nr]])</f>
        <v>LU16792</v>
      </c>
    </row>
    <row r="146" spans="1:12" x14ac:dyDescent="0.25">
      <c r="A146" s="5" t="s">
        <v>387</v>
      </c>
      <c r="B146" s="6" t="s">
        <v>388</v>
      </c>
      <c r="C146" s="6" t="s">
        <v>389</v>
      </c>
      <c r="D146" s="7" t="s">
        <v>7</v>
      </c>
      <c r="F146">
        <v>4779174699</v>
      </c>
      <c r="G146" s="1" t="s">
        <v>1003</v>
      </c>
      <c r="H146" s="1" t="s">
        <v>1226</v>
      </c>
      <c r="I146" s="1" t="s">
        <v>1087</v>
      </c>
      <c r="J146">
        <v>2348</v>
      </c>
      <c r="K146" s="1" t="str">
        <f>VLOOKUP(uslugi411[[#This Row],[NIP]],nip_firm612[],2,FALSE)</f>
        <v>FASO</v>
      </c>
      <c r="L146" s="1" t="str">
        <f>_xlfn.CONCAT(uslugi411[[#This Row],[ozn]:[nr]])</f>
        <v>DW3891T</v>
      </c>
    </row>
    <row r="147" spans="1:12" x14ac:dyDescent="0.25">
      <c r="A147" s="2" t="s">
        <v>390</v>
      </c>
      <c r="B147" s="3" t="s">
        <v>391</v>
      </c>
      <c r="C147" s="3" t="s">
        <v>392</v>
      </c>
      <c r="D147" s="4" t="s">
        <v>7</v>
      </c>
      <c r="F147">
        <v>3318203338</v>
      </c>
      <c r="G147" s="1" t="s">
        <v>248</v>
      </c>
      <c r="H147" s="1" t="s">
        <v>1227</v>
      </c>
      <c r="I147" s="1" t="s">
        <v>1087</v>
      </c>
      <c r="J147">
        <v>2305</v>
      </c>
      <c r="K147" s="1" t="str">
        <f>VLOOKUP(uslugi411[[#This Row],[NIP]],nip_firm612[],2,FALSE)</f>
        <v>LUBLIN1</v>
      </c>
      <c r="L147" s="1" t="str">
        <f>_xlfn.CONCAT(uslugi411[[#This Row],[ozn]:[nr]])</f>
        <v>SJLR356</v>
      </c>
    </row>
    <row r="148" spans="1:12" x14ac:dyDescent="0.25">
      <c r="A148" s="5" t="s">
        <v>393</v>
      </c>
      <c r="B148" s="6" t="s">
        <v>394</v>
      </c>
      <c r="C148" s="6" t="s">
        <v>395</v>
      </c>
      <c r="D148" s="7" t="s">
        <v>7</v>
      </c>
      <c r="F148">
        <v>1433397952</v>
      </c>
      <c r="G148" s="1" t="s">
        <v>314</v>
      </c>
      <c r="H148" s="1" t="s">
        <v>1228</v>
      </c>
      <c r="I148" s="1" t="s">
        <v>1081</v>
      </c>
      <c r="J148">
        <v>2282</v>
      </c>
      <c r="K148" s="1" t="str">
        <f>VLOOKUP(uslugi411[[#This Row],[NIP]],nip_firm612[],2,FALSE)</f>
        <v>BARTEX</v>
      </c>
      <c r="L148" s="1" t="str">
        <f>_xlfn.CONCAT(uslugi411[[#This Row],[ozn]:[nr]])</f>
        <v>PN16830</v>
      </c>
    </row>
    <row r="149" spans="1:12" x14ac:dyDescent="0.25">
      <c r="A149" s="2" t="s">
        <v>396</v>
      </c>
      <c r="B149" s="3" t="s">
        <v>397</v>
      </c>
      <c r="C149" s="3" t="s">
        <v>398</v>
      </c>
      <c r="D149" s="4" t="s">
        <v>7</v>
      </c>
      <c r="F149">
        <v>4326751508</v>
      </c>
      <c r="G149" s="1" t="s">
        <v>405</v>
      </c>
      <c r="H149" s="1" t="s">
        <v>1229</v>
      </c>
      <c r="I149" s="1" t="s">
        <v>1081</v>
      </c>
      <c r="J149">
        <v>2408</v>
      </c>
      <c r="K149" s="1" t="str">
        <f>VLOOKUP(uslugi411[[#This Row],[NIP]],nip_firm612[],2,FALSE)</f>
        <v>WROCBUD2</v>
      </c>
      <c r="L149" s="1" t="str">
        <f>_xlfn.CONCAT(uslugi411[[#This Row],[ozn]:[nr]])</f>
        <v>EL59799</v>
      </c>
    </row>
    <row r="150" spans="1:12" x14ac:dyDescent="0.25">
      <c r="A150" s="5" t="s">
        <v>399</v>
      </c>
      <c r="B150" s="6" t="s">
        <v>400</v>
      </c>
      <c r="C150" s="6" t="s">
        <v>401</v>
      </c>
      <c r="D150" s="7" t="s">
        <v>7</v>
      </c>
      <c r="F150">
        <v>3470453173</v>
      </c>
      <c r="G150" s="1" t="s">
        <v>85</v>
      </c>
      <c r="H150" s="1" t="s">
        <v>1230</v>
      </c>
      <c r="I150" s="1" t="s">
        <v>1087</v>
      </c>
      <c r="J150">
        <v>1835</v>
      </c>
      <c r="K150" s="1" t="str">
        <f>VLOOKUP(uslugi411[[#This Row],[NIP]],nip_firm612[],2,FALSE)</f>
        <v>MASPOL</v>
      </c>
      <c r="L150" s="1" t="str">
        <f>_xlfn.CONCAT(uslugi411[[#This Row],[ozn]:[nr]])</f>
        <v>LC34566</v>
      </c>
    </row>
    <row r="151" spans="1:12" x14ac:dyDescent="0.25">
      <c r="A151" s="2" t="s">
        <v>402</v>
      </c>
      <c r="B151" s="3" t="s">
        <v>403</v>
      </c>
      <c r="C151" s="3" t="s">
        <v>404</v>
      </c>
      <c r="D151" s="4" t="s">
        <v>7</v>
      </c>
      <c r="F151">
        <v>3783578981</v>
      </c>
      <c r="G151" s="1" t="s">
        <v>405</v>
      </c>
      <c r="H151" s="1" t="s">
        <v>1231</v>
      </c>
      <c r="I151" s="1" t="s">
        <v>1081</v>
      </c>
      <c r="J151">
        <v>1869</v>
      </c>
      <c r="K151" s="1" t="str">
        <f>VLOOKUP(uslugi411[[#This Row],[NIP]],nip_firm612[],2,FALSE)</f>
        <v>LUBEX</v>
      </c>
      <c r="L151" s="1" t="str">
        <f>_xlfn.CONCAT(uslugi411[[#This Row],[ozn]:[nr]])</f>
        <v>EL28112</v>
      </c>
    </row>
    <row r="152" spans="1:12" x14ac:dyDescent="0.25">
      <c r="A152" s="5" t="s">
        <v>405</v>
      </c>
      <c r="B152" s="6" t="s">
        <v>406</v>
      </c>
      <c r="C152" s="6" t="s">
        <v>406</v>
      </c>
      <c r="D152" s="7" t="s">
        <v>22</v>
      </c>
      <c r="F152">
        <v>3568004264</v>
      </c>
      <c r="G152" s="1" t="s">
        <v>428</v>
      </c>
      <c r="H152" s="1" t="s">
        <v>1232</v>
      </c>
      <c r="I152" s="1" t="s">
        <v>1087</v>
      </c>
      <c r="J152">
        <v>1804</v>
      </c>
      <c r="K152" s="1" t="str">
        <f>VLOOKUP(uslugi411[[#This Row],[NIP]],nip_firm612[],2,FALSE)</f>
        <v>MURATOR</v>
      </c>
      <c r="L152" s="1" t="str">
        <f>_xlfn.CONCAT(uslugi411[[#This Row],[ozn]:[nr]])</f>
        <v>LUBF628</v>
      </c>
    </row>
    <row r="153" spans="1:12" x14ac:dyDescent="0.25">
      <c r="A153" s="2" t="s">
        <v>407</v>
      </c>
      <c r="B153" s="3" t="s">
        <v>408</v>
      </c>
      <c r="C153" s="3" t="s">
        <v>406</v>
      </c>
      <c r="D153" s="4" t="s">
        <v>7</v>
      </c>
      <c r="F153">
        <v>6758177505</v>
      </c>
      <c r="G153" s="1" t="s">
        <v>862</v>
      </c>
      <c r="H153" s="1" t="s">
        <v>1233</v>
      </c>
      <c r="I153" s="1" t="s">
        <v>1081</v>
      </c>
      <c r="J153">
        <v>2990</v>
      </c>
      <c r="K153" s="1" t="str">
        <f>VLOOKUP(uslugi411[[#This Row],[NIP]],nip_firm612[],2,FALSE)</f>
        <v>WERTIX</v>
      </c>
      <c r="L153" s="1" t="str">
        <f>_xlfn.CONCAT(uslugi411[[#This Row],[ozn]:[nr]])</f>
        <v>RTA501V</v>
      </c>
    </row>
    <row r="154" spans="1:12" x14ac:dyDescent="0.25">
      <c r="A154" s="5" t="s">
        <v>409</v>
      </c>
      <c r="B154" s="6" t="s">
        <v>410</v>
      </c>
      <c r="C154" s="6" t="s">
        <v>410</v>
      </c>
      <c r="D154" s="7" t="s">
        <v>22</v>
      </c>
      <c r="F154">
        <v>5115061689</v>
      </c>
      <c r="G154" s="1" t="s">
        <v>702</v>
      </c>
      <c r="H154" s="1" t="s">
        <v>1234</v>
      </c>
      <c r="I154" s="1" t="s">
        <v>1081</v>
      </c>
      <c r="J154">
        <v>2840</v>
      </c>
      <c r="K154" s="1" t="str">
        <f>VLOOKUP(uslugi411[[#This Row],[NIP]],nip_firm612[],2,FALSE)</f>
        <v>BETON-STAL</v>
      </c>
      <c r="L154" s="1" t="str">
        <f>_xlfn.CONCAT(uslugi411[[#This Row],[ozn]:[nr]])</f>
        <v>SL16894</v>
      </c>
    </row>
    <row r="155" spans="1:12" x14ac:dyDescent="0.25">
      <c r="A155" s="2" t="s">
        <v>411</v>
      </c>
      <c r="B155" s="3" t="s">
        <v>412</v>
      </c>
      <c r="C155" s="3" t="s">
        <v>410</v>
      </c>
      <c r="D155" s="4" t="s">
        <v>7</v>
      </c>
      <c r="F155">
        <v>5418968184</v>
      </c>
      <c r="G155" s="1" t="s">
        <v>248</v>
      </c>
      <c r="H155" s="1" t="s">
        <v>1235</v>
      </c>
      <c r="I155" s="1" t="s">
        <v>1087</v>
      </c>
      <c r="J155">
        <v>1929</v>
      </c>
      <c r="K155" s="1" t="str">
        <f>VLOOKUP(uslugi411[[#This Row],[NIP]],nip_firm612[],2,FALSE)</f>
        <v>SOSNEC</v>
      </c>
      <c r="L155" s="1" t="str">
        <f>_xlfn.CONCAT(uslugi411[[#This Row],[ozn]:[nr]])</f>
        <v>SJO62FG</v>
      </c>
    </row>
    <row r="156" spans="1:12" x14ac:dyDescent="0.25">
      <c r="A156" s="5" t="s">
        <v>413</v>
      </c>
      <c r="B156" s="6" t="s">
        <v>414</v>
      </c>
      <c r="C156" s="6" t="s">
        <v>415</v>
      </c>
      <c r="D156" s="7" t="s">
        <v>7</v>
      </c>
      <c r="F156">
        <v>2581219876</v>
      </c>
      <c r="G156" s="1" t="s">
        <v>141</v>
      </c>
      <c r="H156" s="1" t="s">
        <v>1236</v>
      </c>
      <c r="I156" s="1" t="s">
        <v>1081</v>
      </c>
      <c r="J156">
        <v>2506</v>
      </c>
      <c r="K156" s="1" t="str">
        <f>VLOOKUP(uslugi411[[#This Row],[NIP]],nip_firm612[],2,FALSE)</f>
        <v>TECH-MASZ</v>
      </c>
      <c r="L156" s="1" t="str">
        <f>_xlfn.CONCAT(uslugi411[[#This Row],[ozn]:[nr]])</f>
        <v>NEBH724</v>
      </c>
    </row>
    <row r="157" spans="1:12" x14ac:dyDescent="0.25">
      <c r="A157" s="2" t="s">
        <v>416</v>
      </c>
      <c r="B157" s="3" t="s">
        <v>417</v>
      </c>
      <c r="C157" s="3" t="s">
        <v>418</v>
      </c>
      <c r="D157" s="4" t="s">
        <v>7</v>
      </c>
      <c r="F157">
        <v>1127056356</v>
      </c>
      <c r="G157" s="1" t="s">
        <v>317</v>
      </c>
      <c r="H157" s="1" t="s">
        <v>1237</v>
      </c>
      <c r="I157" s="1" t="s">
        <v>1087</v>
      </c>
      <c r="J157">
        <v>2924</v>
      </c>
      <c r="K157" s="1" t="str">
        <f>VLOOKUP(uslugi411[[#This Row],[NIP]],nip_firm612[],2,FALSE)</f>
        <v>KONSBET</v>
      </c>
      <c r="L157" s="1" t="str">
        <f>_xlfn.CONCAT(uslugi411[[#This Row],[ozn]:[nr]])</f>
        <v>PKSW570</v>
      </c>
    </row>
    <row r="158" spans="1:12" x14ac:dyDescent="0.25">
      <c r="A158" s="5" t="s">
        <v>419</v>
      </c>
      <c r="B158" s="6" t="s">
        <v>420</v>
      </c>
      <c r="C158" s="6" t="s">
        <v>421</v>
      </c>
      <c r="D158" s="7" t="s">
        <v>7</v>
      </c>
      <c r="F158">
        <v>5528435390</v>
      </c>
      <c r="G158" s="1" t="s">
        <v>248</v>
      </c>
      <c r="H158" s="1" t="s">
        <v>1238</v>
      </c>
      <c r="I158" s="1" t="s">
        <v>1081</v>
      </c>
      <c r="J158">
        <v>2283</v>
      </c>
      <c r="K158" s="1" t="str">
        <f>VLOOKUP(uslugi411[[#This Row],[NIP]],nip_firm612[],2,FALSE)</f>
        <v>ZABER</v>
      </c>
      <c r="L158" s="1" t="str">
        <f>_xlfn.CONCAT(uslugi411[[#This Row],[ozn]:[nr]])</f>
        <v>SJA38DW</v>
      </c>
    </row>
    <row r="159" spans="1:12" x14ac:dyDescent="0.25">
      <c r="A159" s="2" t="s">
        <v>422</v>
      </c>
      <c r="B159" s="3" t="s">
        <v>423</v>
      </c>
      <c r="C159" s="3" t="s">
        <v>424</v>
      </c>
      <c r="D159" s="4" t="s">
        <v>7</v>
      </c>
      <c r="F159">
        <v>4241680809</v>
      </c>
      <c r="G159" s="1" t="s">
        <v>248</v>
      </c>
      <c r="H159" s="1" t="s">
        <v>1239</v>
      </c>
      <c r="I159" s="1" t="s">
        <v>1081</v>
      </c>
      <c r="J159">
        <v>2350</v>
      </c>
      <c r="K159" s="1" t="str">
        <f>VLOOKUP(uslugi411[[#This Row],[NIP]],nip_firm612[],2,FALSE)</f>
        <v>WROCBUD4</v>
      </c>
      <c r="L159" s="1" t="str">
        <f>_xlfn.CONCAT(uslugi411[[#This Row],[ozn]:[nr]])</f>
        <v>SJR78KN</v>
      </c>
    </row>
    <row r="160" spans="1:12" x14ac:dyDescent="0.25">
      <c r="A160" s="5" t="s">
        <v>425</v>
      </c>
      <c r="B160" s="6" t="s">
        <v>426</v>
      </c>
      <c r="C160" s="6" t="s">
        <v>427</v>
      </c>
      <c r="D160" s="7" t="s">
        <v>7</v>
      </c>
      <c r="F160">
        <v>2245871126</v>
      </c>
      <c r="G160" s="1" t="s">
        <v>73</v>
      </c>
      <c r="H160" s="1" t="s">
        <v>1240</v>
      </c>
      <c r="I160" s="1" t="s">
        <v>1081</v>
      </c>
      <c r="J160">
        <v>2340</v>
      </c>
      <c r="K160" s="1" t="str">
        <f>VLOOKUP(uslugi411[[#This Row],[NIP]],nip_firm612[],2,FALSE)</f>
        <v>OLSZTYN</v>
      </c>
      <c r="L160" s="1" t="str">
        <f>_xlfn.CONCAT(uslugi411[[#This Row],[ozn]:[nr]])</f>
        <v>TBU24274</v>
      </c>
    </row>
    <row r="161" spans="1:12" x14ac:dyDescent="0.25">
      <c r="A161" s="2" t="s">
        <v>428</v>
      </c>
      <c r="B161" s="3" t="s">
        <v>429</v>
      </c>
      <c r="C161" s="3" t="s">
        <v>430</v>
      </c>
      <c r="D161" s="4" t="s">
        <v>7</v>
      </c>
      <c r="F161">
        <v>1620242236</v>
      </c>
      <c r="G161" s="1" t="s">
        <v>314</v>
      </c>
      <c r="H161" s="1" t="s">
        <v>1241</v>
      </c>
      <c r="I161" s="1" t="s">
        <v>1081</v>
      </c>
      <c r="J161">
        <v>2368</v>
      </c>
      <c r="K161" s="1" t="str">
        <f>VLOOKUP(uslugi411[[#This Row],[NIP]],nip_firm612[],2,FALSE)</f>
        <v>WIET-IND</v>
      </c>
      <c r="L161" s="1" t="str">
        <f>_xlfn.CONCAT(uslugi411[[#This Row],[ozn]:[nr]])</f>
        <v>PN16900</v>
      </c>
    </row>
    <row r="162" spans="1:12" x14ac:dyDescent="0.25">
      <c r="A162" s="5" t="s">
        <v>431</v>
      </c>
      <c r="B162" s="6" t="s">
        <v>432</v>
      </c>
      <c r="C162" s="6" t="s">
        <v>433</v>
      </c>
      <c r="D162" s="7" t="s">
        <v>7</v>
      </c>
      <c r="F162">
        <v>4796841112</v>
      </c>
      <c r="G162" s="1" t="s">
        <v>533</v>
      </c>
      <c r="H162" s="1" t="s">
        <v>1242</v>
      </c>
      <c r="I162" s="1" t="s">
        <v>1081</v>
      </c>
      <c r="J162">
        <v>3336</v>
      </c>
      <c r="K162" s="1" t="str">
        <f>VLOOKUP(uslugi411[[#This Row],[NIP]],nip_firm612[],2,FALSE)</f>
        <v>WARM S. A.</v>
      </c>
      <c r="L162" s="1" t="str">
        <f>_xlfn.CONCAT(uslugi411[[#This Row],[ozn]:[nr]])</f>
        <v>DOAD684</v>
      </c>
    </row>
    <row r="163" spans="1:12" x14ac:dyDescent="0.25">
      <c r="A163" s="2" t="s">
        <v>434</v>
      </c>
      <c r="B163" s="3" t="s">
        <v>430</v>
      </c>
      <c r="C163" s="3" t="s">
        <v>430</v>
      </c>
      <c r="D163" s="4" t="s">
        <v>22</v>
      </c>
      <c r="F163">
        <v>3783578981</v>
      </c>
      <c r="G163" s="1" t="s">
        <v>405</v>
      </c>
      <c r="H163" s="1" t="s">
        <v>1243</v>
      </c>
      <c r="I163" s="1" t="s">
        <v>1081</v>
      </c>
      <c r="J163">
        <v>2510</v>
      </c>
      <c r="K163" s="1" t="str">
        <f>VLOOKUP(uslugi411[[#This Row],[NIP]],nip_firm612[],2,FALSE)</f>
        <v>LUBEX</v>
      </c>
      <c r="L163" s="1" t="str">
        <f>_xlfn.CONCAT(uslugi411[[#This Row],[ozn]:[nr]])</f>
        <v>EL27708</v>
      </c>
    </row>
    <row r="164" spans="1:12" x14ac:dyDescent="0.25">
      <c r="A164" s="5" t="s">
        <v>435</v>
      </c>
      <c r="B164" s="6" t="s">
        <v>436</v>
      </c>
      <c r="C164" s="6" t="s">
        <v>437</v>
      </c>
      <c r="D164" s="7" t="s">
        <v>7</v>
      </c>
      <c r="F164">
        <v>5115061689</v>
      </c>
      <c r="G164" s="1" t="s">
        <v>704</v>
      </c>
      <c r="H164" s="1" t="s">
        <v>1244</v>
      </c>
      <c r="I164" s="1" t="s">
        <v>1081</v>
      </c>
      <c r="J164">
        <v>2358</v>
      </c>
      <c r="K164" s="1" t="str">
        <f>VLOOKUP(uslugi411[[#This Row],[NIP]],nip_firm612[],2,FALSE)</f>
        <v>BETON-STAL</v>
      </c>
      <c r="L164" s="1" t="str">
        <f>_xlfn.CONCAT(uslugi411[[#This Row],[ozn]:[nr]])</f>
        <v>SRSL668</v>
      </c>
    </row>
    <row r="165" spans="1:12" x14ac:dyDescent="0.25">
      <c r="A165" s="2" t="s">
        <v>438</v>
      </c>
      <c r="B165" s="3" t="s">
        <v>439</v>
      </c>
      <c r="C165" s="3" t="s">
        <v>440</v>
      </c>
      <c r="D165" s="4" t="s">
        <v>7</v>
      </c>
      <c r="F165">
        <v>6758177505</v>
      </c>
      <c r="G165" s="1" t="s">
        <v>562</v>
      </c>
      <c r="H165" s="1" t="s">
        <v>1245</v>
      </c>
      <c r="I165" s="1" t="s">
        <v>1081</v>
      </c>
      <c r="J165">
        <v>3104</v>
      </c>
      <c r="K165" s="1" t="str">
        <f>VLOOKUP(uslugi411[[#This Row],[NIP]],nip_firm612[],2,FALSE)</f>
        <v>WERTIX</v>
      </c>
      <c r="L165" s="1" t="str">
        <f>_xlfn.CONCAT(uslugi411[[#This Row],[ozn]:[nr]])</f>
        <v>OPO479M</v>
      </c>
    </row>
    <row r="166" spans="1:12" x14ac:dyDescent="0.25">
      <c r="A166" s="5" t="s">
        <v>441</v>
      </c>
      <c r="B166" s="6" t="s">
        <v>442</v>
      </c>
      <c r="C166" s="6" t="s">
        <v>443</v>
      </c>
      <c r="D166" s="7" t="s">
        <v>7</v>
      </c>
      <c r="F166">
        <v>2138598159</v>
      </c>
      <c r="G166" s="1" t="s">
        <v>143</v>
      </c>
      <c r="H166" s="1" t="s">
        <v>1246</v>
      </c>
      <c r="I166" s="1" t="s">
        <v>1081</v>
      </c>
      <c r="J166">
        <v>2391</v>
      </c>
      <c r="K166" s="1" t="str">
        <f>VLOOKUP(uslugi411[[#This Row],[NIP]],nip_firm612[],2,FALSE)</f>
        <v>METALL</v>
      </c>
      <c r="L166" s="1" t="str">
        <f>_xlfn.CONCAT(uslugi411[[#This Row],[ozn]:[nr]])</f>
        <v>NELP588</v>
      </c>
    </row>
    <row r="167" spans="1:12" x14ac:dyDescent="0.25">
      <c r="A167" s="2" t="s">
        <v>444</v>
      </c>
      <c r="B167" s="3" t="s">
        <v>445</v>
      </c>
      <c r="C167" s="3" t="s">
        <v>446</v>
      </c>
      <c r="D167" s="4" t="s">
        <v>7</v>
      </c>
      <c r="F167">
        <v>1524870307</v>
      </c>
      <c r="G167" s="1" t="s">
        <v>248</v>
      </c>
      <c r="H167" s="1" t="s">
        <v>1247</v>
      </c>
      <c r="I167" s="1" t="s">
        <v>1081</v>
      </c>
      <c r="J167">
        <v>2790</v>
      </c>
      <c r="K167" s="1" t="str">
        <f>VLOOKUP(uslugi411[[#This Row],[NIP]],nip_firm612[],2,FALSE)</f>
        <v>NOTOM</v>
      </c>
      <c r="L167" s="1" t="str">
        <f>_xlfn.CONCAT(uslugi411[[#This Row],[ozn]:[nr]])</f>
        <v>SJN91XU</v>
      </c>
    </row>
    <row r="168" spans="1:12" x14ac:dyDescent="0.25">
      <c r="A168" s="5" t="s">
        <v>447</v>
      </c>
      <c r="B168" s="6" t="s">
        <v>448</v>
      </c>
      <c r="C168" s="6" t="s">
        <v>449</v>
      </c>
      <c r="D168" s="7" t="s">
        <v>7</v>
      </c>
      <c r="F168">
        <v>4796841112</v>
      </c>
      <c r="G168" s="1" t="s">
        <v>533</v>
      </c>
      <c r="H168" s="1" t="s">
        <v>1248</v>
      </c>
      <c r="I168" s="1" t="s">
        <v>1081</v>
      </c>
      <c r="J168">
        <v>1796</v>
      </c>
      <c r="K168" s="1" t="str">
        <f>VLOOKUP(uslugi411[[#This Row],[NIP]],nip_firm612[],2,FALSE)</f>
        <v>WARM S. A.</v>
      </c>
      <c r="L168" s="1" t="str">
        <f>_xlfn.CONCAT(uslugi411[[#This Row],[ozn]:[nr]])</f>
        <v>DOAL678</v>
      </c>
    </row>
    <row r="169" spans="1:12" x14ac:dyDescent="0.25">
      <c r="A169" s="2" t="s">
        <v>450</v>
      </c>
      <c r="B169" s="3" t="s">
        <v>451</v>
      </c>
      <c r="C169" s="3" t="s">
        <v>452</v>
      </c>
      <c r="D169" s="4" t="s">
        <v>7</v>
      </c>
      <c r="F169">
        <v>3470453173</v>
      </c>
      <c r="G169" s="1" t="s">
        <v>85</v>
      </c>
      <c r="H169" s="1" t="s">
        <v>1249</v>
      </c>
      <c r="I169" s="1" t="s">
        <v>1081</v>
      </c>
      <c r="J169">
        <v>1790</v>
      </c>
      <c r="K169" s="1" t="str">
        <f>VLOOKUP(uslugi411[[#This Row],[NIP]],nip_firm612[],2,FALSE)</f>
        <v>MASPOL</v>
      </c>
      <c r="L169" s="1" t="str">
        <f>_xlfn.CONCAT(uslugi411[[#This Row],[ozn]:[nr]])</f>
        <v>LC34574</v>
      </c>
    </row>
    <row r="170" spans="1:12" x14ac:dyDescent="0.25">
      <c r="A170" s="5" t="s">
        <v>453</v>
      </c>
      <c r="B170" s="6" t="s">
        <v>454</v>
      </c>
      <c r="C170" s="6" t="s">
        <v>455</v>
      </c>
      <c r="D170" s="7" t="s">
        <v>7</v>
      </c>
      <c r="F170">
        <v>4761158900</v>
      </c>
      <c r="G170" s="1" t="s">
        <v>294</v>
      </c>
      <c r="H170" s="1" t="s">
        <v>1250</v>
      </c>
      <c r="I170" s="1" t="s">
        <v>1087</v>
      </c>
      <c r="J170">
        <v>2460</v>
      </c>
      <c r="K170" s="1" t="str">
        <f>VLOOKUP(uslugi411[[#This Row],[NIP]],nip_firm612[],2,FALSE)</f>
        <v>WROCBUD3</v>
      </c>
      <c r="L170" s="1" t="str">
        <f>_xlfn.CONCAT(uslugi411[[#This Row],[ozn]:[nr]])</f>
        <v>OKL87574</v>
      </c>
    </row>
    <row r="171" spans="1:12" x14ac:dyDescent="0.25">
      <c r="A171" s="2" t="s">
        <v>456</v>
      </c>
      <c r="B171" s="3" t="s">
        <v>457</v>
      </c>
      <c r="C171" s="3" t="s">
        <v>458</v>
      </c>
      <c r="D171" s="4" t="s">
        <v>7</v>
      </c>
      <c r="F171">
        <v>3866883575</v>
      </c>
      <c r="G171" s="1" t="s">
        <v>434</v>
      </c>
      <c r="H171" s="1" t="s">
        <v>1251</v>
      </c>
      <c r="I171" s="1" t="s">
        <v>1081</v>
      </c>
      <c r="J171">
        <v>3300</v>
      </c>
      <c r="K171" s="1" t="str">
        <f>VLOOKUP(uslugi411[[#This Row],[NIP]],nip_firm612[],2,FALSE)</f>
        <v>KPICO</v>
      </c>
      <c r="L171" s="1" t="str">
        <f>_xlfn.CONCAT(uslugi411[[#This Row],[ozn]:[nr]])</f>
        <v>LU3561B</v>
      </c>
    </row>
    <row r="172" spans="1:12" x14ac:dyDescent="0.25">
      <c r="A172" s="5" t="s">
        <v>459</v>
      </c>
      <c r="B172" s="6" t="s">
        <v>460</v>
      </c>
      <c r="C172" s="6" t="s">
        <v>461</v>
      </c>
      <c r="D172" s="7" t="s">
        <v>7</v>
      </c>
      <c r="F172">
        <v>4326751508</v>
      </c>
      <c r="G172" s="1" t="s">
        <v>405</v>
      </c>
      <c r="H172" s="1" t="s">
        <v>1252</v>
      </c>
      <c r="I172" s="1" t="s">
        <v>1081</v>
      </c>
      <c r="J172">
        <v>2365</v>
      </c>
      <c r="K172" s="1" t="str">
        <f>VLOOKUP(uslugi411[[#This Row],[NIP]],nip_firm612[],2,FALSE)</f>
        <v>WROCBUD2</v>
      </c>
      <c r="L172" s="1" t="str">
        <f>_xlfn.CONCAT(uslugi411[[#This Row],[ozn]:[nr]])</f>
        <v>EL60910</v>
      </c>
    </row>
    <row r="173" spans="1:12" x14ac:dyDescent="0.25">
      <c r="A173" s="2" t="s">
        <v>462</v>
      </c>
      <c r="B173" s="3" t="s">
        <v>463</v>
      </c>
      <c r="C173" s="3" t="s">
        <v>464</v>
      </c>
      <c r="D173" s="4" t="s">
        <v>7</v>
      </c>
      <c r="F173">
        <v>1278408463</v>
      </c>
      <c r="G173" s="1" t="s">
        <v>312</v>
      </c>
      <c r="H173" s="1" t="s">
        <v>1253</v>
      </c>
      <c r="I173" s="1" t="s">
        <v>1087</v>
      </c>
      <c r="J173">
        <v>3270</v>
      </c>
      <c r="K173" s="1" t="str">
        <f>VLOOKUP(uslugi411[[#This Row],[NIP]],nip_firm612[],2,FALSE)</f>
        <v>REFAMUR</v>
      </c>
      <c r="L173" s="1" t="str">
        <f>_xlfn.CONCAT(uslugi411[[#This Row],[ozn]:[nr]])</f>
        <v>PKON574</v>
      </c>
    </row>
    <row r="174" spans="1:12" x14ac:dyDescent="0.25">
      <c r="A174" s="5" t="s">
        <v>465</v>
      </c>
      <c r="B174" s="6" t="s">
        <v>466</v>
      </c>
      <c r="C174" s="6" t="s">
        <v>467</v>
      </c>
      <c r="D174" s="7" t="s">
        <v>7</v>
      </c>
      <c r="F174">
        <v>4326751508</v>
      </c>
      <c r="G174" s="1" t="s">
        <v>405</v>
      </c>
      <c r="H174" s="1" t="s">
        <v>1254</v>
      </c>
      <c r="I174" s="1" t="s">
        <v>1081</v>
      </c>
      <c r="J174">
        <v>1835</v>
      </c>
      <c r="K174" s="1" t="str">
        <f>VLOOKUP(uslugi411[[#This Row],[NIP]],nip_firm612[],2,FALSE)</f>
        <v>WROCBUD2</v>
      </c>
      <c r="L174" s="1" t="str">
        <f>_xlfn.CONCAT(uslugi411[[#This Row],[ozn]:[nr]])</f>
        <v>EL65354</v>
      </c>
    </row>
    <row r="175" spans="1:12" x14ac:dyDescent="0.25">
      <c r="A175" s="2" t="s">
        <v>468</v>
      </c>
      <c r="B175" s="3" t="s">
        <v>469</v>
      </c>
      <c r="C175" s="3" t="s">
        <v>470</v>
      </c>
      <c r="D175" s="4" t="s">
        <v>7</v>
      </c>
      <c r="F175">
        <v>1581329071</v>
      </c>
      <c r="G175" s="1" t="s">
        <v>248</v>
      </c>
      <c r="H175" s="1" t="s">
        <v>1255</v>
      </c>
      <c r="I175" s="1" t="s">
        <v>1087</v>
      </c>
      <c r="J175">
        <v>2320</v>
      </c>
      <c r="K175" s="1" t="str">
        <f>VLOOKUP(uslugi411[[#This Row],[NIP]],nip_firm612[],2,FALSE)</f>
        <v>WRZESNIA1</v>
      </c>
      <c r="L175" s="1" t="str">
        <f>_xlfn.CONCAT(uslugi411[[#This Row],[ozn]:[nr]])</f>
        <v>SJE95RH</v>
      </c>
    </row>
    <row r="176" spans="1:12" x14ac:dyDescent="0.25">
      <c r="A176" s="5" t="s">
        <v>471</v>
      </c>
      <c r="B176" s="6" t="s">
        <v>472</v>
      </c>
      <c r="C176" s="6" t="s">
        <v>473</v>
      </c>
      <c r="D176" s="7" t="s">
        <v>7</v>
      </c>
      <c r="F176">
        <v>1620242236</v>
      </c>
      <c r="G176" s="1" t="s">
        <v>314</v>
      </c>
      <c r="H176" s="1" t="s">
        <v>1256</v>
      </c>
      <c r="I176" s="1" t="s">
        <v>1081</v>
      </c>
      <c r="J176">
        <v>2067</v>
      </c>
      <c r="K176" s="1" t="str">
        <f>VLOOKUP(uslugi411[[#This Row],[NIP]],nip_firm612[],2,FALSE)</f>
        <v>WIET-IND</v>
      </c>
      <c r="L176" s="1" t="str">
        <f>_xlfn.CONCAT(uslugi411[[#This Row],[ozn]:[nr]])</f>
        <v>PN16902</v>
      </c>
    </row>
    <row r="177" spans="1:12" x14ac:dyDescent="0.25">
      <c r="A177" s="2" t="s">
        <v>474</v>
      </c>
      <c r="B177" s="3" t="s">
        <v>475</v>
      </c>
      <c r="C177" s="3" t="s">
        <v>476</v>
      </c>
      <c r="D177" s="4" t="s">
        <v>7</v>
      </c>
      <c r="F177">
        <v>2214740049</v>
      </c>
      <c r="G177" s="1" t="s">
        <v>56</v>
      </c>
      <c r="H177" s="1" t="s">
        <v>1257</v>
      </c>
      <c r="I177" s="1" t="s">
        <v>1081</v>
      </c>
      <c r="J177">
        <v>2366</v>
      </c>
      <c r="K177" s="1" t="str">
        <f>VLOOKUP(uslugi411[[#This Row],[NIP]],nip_firm612[],2,FALSE)</f>
        <v>SZPULTEX</v>
      </c>
      <c r="L177" s="1" t="str">
        <f>_xlfn.CONCAT(uslugi411[[#This Row],[ozn]:[nr]])</f>
        <v>NBRS706</v>
      </c>
    </row>
    <row r="178" spans="1:12" x14ac:dyDescent="0.25">
      <c r="A178" s="5" t="s">
        <v>477</v>
      </c>
      <c r="B178" s="6" t="s">
        <v>478</v>
      </c>
      <c r="C178" s="6" t="s">
        <v>479</v>
      </c>
      <c r="D178" s="7" t="s">
        <v>7</v>
      </c>
      <c r="F178">
        <v>1433397952</v>
      </c>
      <c r="G178" s="1" t="s">
        <v>314</v>
      </c>
      <c r="H178" s="1" t="s">
        <v>1258</v>
      </c>
      <c r="I178" s="1" t="s">
        <v>1081</v>
      </c>
      <c r="J178">
        <v>1990</v>
      </c>
      <c r="K178" s="1" t="str">
        <f>VLOOKUP(uslugi411[[#This Row],[NIP]],nip_firm612[],2,FALSE)</f>
        <v>BARTEX</v>
      </c>
      <c r="L178" s="1" t="str">
        <f>_xlfn.CONCAT(uslugi411[[#This Row],[ozn]:[nr]])</f>
        <v>PN3631H</v>
      </c>
    </row>
    <row r="179" spans="1:12" x14ac:dyDescent="0.25">
      <c r="A179" s="2" t="s">
        <v>480</v>
      </c>
      <c r="B179" s="3" t="s">
        <v>481</v>
      </c>
      <c r="C179" s="3" t="s">
        <v>482</v>
      </c>
      <c r="D179" s="4" t="s">
        <v>7</v>
      </c>
      <c r="F179">
        <v>2581219876</v>
      </c>
      <c r="G179" s="1" t="s">
        <v>141</v>
      </c>
      <c r="H179" s="1" t="s">
        <v>1259</v>
      </c>
      <c r="I179" s="1" t="s">
        <v>1087</v>
      </c>
      <c r="J179">
        <v>2120</v>
      </c>
      <c r="K179" s="1" t="str">
        <f>VLOOKUP(uslugi411[[#This Row],[NIP]],nip_firm612[],2,FALSE)</f>
        <v>TECH-MASZ</v>
      </c>
      <c r="L179" s="1" t="str">
        <f>_xlfn.CONCAT(uslugi411[[#This Row],[ozn]:[nr]])</f>
        <v>NEB94MD</v>
      </c>
    </row>
    <row r="180" spans="1:12" x14ac:dyDescent="0.25">
      <c r="A180" s="5" t="s">
        <v>483</v>
      </c>
      <c r="B180" s="6" t="s">
        <v>484</v>
      </c>
      <c r="C180" s="6" t="s">
        <v>485</v>
      </c>
      <c r="D180" s="7" t="s">
        <v>7</v>
      </c>
      <c r="F180">
        <v>3470453173</v>
      </c>
      <c r="G180" s="1" t="s">
        <v>85</v>
      </c>
      <c r="H180" s="1" t="s">
        <v>1260</v>
      </c>
      <c r="I180" s="1" t="s">
        <v>1087</v>
      </c>
      <c r="J180">
        <v>1620</v>
      </c>
      <c r="K180" s="1" t="str">
        <f>VLOOKUP(uslugi411[[#This Row],[NIP]],nip_firm612[],2,FALSE)</f>
        <v>MASPOL</v>
      </c>
      <c r="L180" s="1" t="str">
        <f>_xlfn.CONCAT(uslugi411[[#This Row],[ozn]:[nr]])</f>
        <v>LC34576</v>
      </c>
    </row>
    <row r="181" spans="1:12" x14ac:dyDescent="0.25">
      <c r="A181" s="2" t="s">
        <v>486</v>
      </c>
      <c r="B181" s="3" t="s">
        <v>487</v>
      </c>
      <c r="C181" s="3" t="s">
        <v>488</v>
      </c>
      <c r="D181" s="4" t="s">
        <v>7</v>
      </c>
      <c r="F181">
        <v>4761158900</v>
      </c>
      <c r="G181" s="1" t="s">
        <v>294</v>
      </c>
      <c r="H181" s="1" t="s">
        <v>1261</v>
      </c>
      <c r="I181" s="1" t="s">
        <v>1081</v>
      </c>
      <c r="J181">
        <v>2080</v>
      </c>
      <c r="K181" s="1" t="str">
        <f>VLOOKUP(uslugi411[[#This Row],[NIP]],nip_firm612[],2,FALSE)</f>
        <v>WROCBUD3</v>
      </c>
      <c r="L181" s="1" t="str">
        <f>_xlfn.CONCAT(uslugi411[[#This Row],[ozn]:[nr]])</f>
        <v>OKL76464</v>
      </c>
    </row>
    <row r="182" spans="1:12" x14ac:dyDescent="0.25">
      <c r="A182" s="5" t="s">
        <v>489</v>
      </c>
      <c r="B182" s="6" t="s">
        <v>490</v>
      </c>
      <c r="C182" s="6" t="s">
        <v>490</v>
      </c>
      <c r="D182" s="7" t="s">
        <v>22</v>
      </c>
      <c r="F182">
        <v>1820566794</v>
      </c>
      <c r="G182" s="1" t="s">
        <v>604</v>
      </c>
      <c r="H182" s="1" t="s">
        <v>1262</v>
      </c>
      <c r="I182" s="1" t="s">
        <v>1087</v>
      </c>
      <c r="J182">
        <v>2658</v>
      </c>
      <c r="K182" s="1" t="str">
        <f>VLOOKUP(uslugi411[[#This Row],[NIP]],nip_firm612[],2,FALSE)</f>
        <v>WRZESNIA2</v>
      </c>
      <c r="L182" s="1" t="str">
        <f>_xlfn.CONCAT(uslugi411[[#This Row],[ozn]:[nr]])</f>
        <v>PP27102</v>
      </c>
    </row>
    <row r="183" spans="1:12" x14ac:dyDescent="0.25">
      <c r="A183" s="2" t="s">
        <v>491</v>
      </c>
      <c r="B183" s="3" t="s">
        <v>492</v>
      </c>
      <c r="C183" s="3" t="s">
        <v>493</v>
      </c>
      <c r="D183" s="4" t="s">
        <v>7</v>
      </c>
      <c r="F183">
        <v>4761158900</v>
      </c>
      <c r="G183" s="1" t="s">
        <v>294</v>
      </c>
      <c r="H183" s="1" t="s">
        <v>1263</v>
      </c>
      <c r="I183" s="1" t="s">
        <v>1087</v>
      </c>
      <c r="J183">
        <v>2582</v>
      </c>
      <c r="K183" s="1" t="str">
        <f>VLOOKUP(uslugi411[[#This Row],[NIP]],nip_firm612[],2,FALSE)</f>
        <v>WROCBUD3</v>
      </c>
      <c r="L183" s="1" t="str">
        <f>_xlfn.CONCAT(uslugi411[[#This Row],[ozn]:[nr]])</f>
        <v>OKL80908</v>
      </c>
    </row>
    <row r="184" spans="1:12" x14ac:dyDescent="0.25">
      <c r="A184" s="5" t="s">
        <v>494</v>
      </c>
      <c r="B184" s="6" t="s">
        <v>495</v>
      </c>
      <c r="C184" s="6" t="s">
        <v>496</v>
      </c>
      <c r="D184" s="7" t="s">
        <v>7</v>
      </c>
      <c r="F184">
        <v>1278408463</v>
      </c>
      <c r="G184" s="1" t="s">
        <v>312</v>
      </c>
      <c r="H184" s="1" t="s">
        <v>1264</v>
      </c>
      <c r="I184" s="1" t="s">
        <v>1087</v>
      </c>
      <c r="J184">
        <v>2852</v>
      </c>
      <c r="K184" s="1" t="str">
        <f>VLOOKUP(uslugi411[[#This Row],[NIP]],nip_firm612[],2,FALSE)</f>
        <v>REFAMUR</v>
      </c>
      <c r="L184" s="1" t="str">
        <f>_xlfn.CONCAT(uslugi411[[#This Row],[ozn]:[nr]])</f>
        <v>PKO25JE</v>
      </c>
    </row>
    <row r="185" spans="1:12" x14ac:dyDescent="0.25">
      <c r="A185" s="2" t="s">
        <v>497</v>
      </c>
      <c r="B185" s="3" t="s">
        <v>498</v>
      </c>
      <c r="C185" s="3" t="s">
        <v>499</v>
      </c>
      <c r="D185" s="4" t="s">
        <v>7</v>
      </c>
      <c r="F185">
        <v>5229945534</v>
      </c>
      <c r="G185" s="1" t="s">
        <v>248</v>
      </c>
      <c r="H185" s="1" t="s">
        <v>1265</v>
      </c>
      <c r="I185" s="1" t="s">
        <v>1081</v>
      </c>
      <c r="J185">
        <v>1968</v>
      </c>
      <c r="K185" s="1" t="str">
        <f>VLOOKUP(uslugi411[[#This Row],[NIP]],nip_firm612[],2,FALSE)</f>
        <v>TARNOR</v>
      </c>
      <c r="L185" s="1" t="str">
        <f>_xlfn.CONCAT(uslugi411[[#This Row],[ozn]:[nr]])</f>
        <v>SJG40VV</v>
      </c>
    </row>
    <row r="186" spans="1:12" x14ac:dyDescent="0.25">
      <c r="A186" s="5" t="s">
        <v>500</v>
      </c>
      <c r="B186" s="6" t="s">
        <v>501</v>
      </c>
      <c r="C186" s="6" t="s">
        <v>502</v>
      </c>
      <c r="D186" s="7" t="s">
        <v>7</v>
      </c>
      <c r="F186">
        <v>3783578981</v>
      </c>
      <c r="G186" s="1" t="s">
        <v>405</v>
      </c>
      <c r="H186" s="1" t="s">
        <v>1266</v>
      </c>
      <c r="I186" s="1" t="s">
        <v>1081</v>
      </c>
      <c r="J186">
        <v>3160</v>
      </c>
      <c r="K186" s="1" t="str">
        <f>VLOOKUP(uslugi411[[#This Row],[NIP]],nip_firm612[],2,FALSE)</f>
        <v>LUBEX</v>
      </c>
      <c r="L186" s="1" t="str">
        <f>_xlfn.CONCAT(uslugi411[[#This Row],[ozn]:[nr]])</f>
        <v>EL28718</v>
      </c>
    </row>
    <row r="187" spans="1:12" x14ac:dyDescent="0.25">
      <c r="A187" s="2" t="s">
        <v>503</v>
      </c>
      <c r="B187" s="3" t="s">
        <v>504</v>
      </c>
      <c r="C187" s="3" t="s">
        <v>505</v>
      </c>
      <c r="D187" s="4" t="s">
        <v>7</v>
      </c>
      <c r="F187">
        <v>4458233905</v>
      </c>
      <c r="G187" s="1" t="s">
        <v>1003</v>
      </c>
      <c r="H187" s="1" t="s">
        <v>1267</v>
      </c>
      <c r="I187" s="1" t="s">
        <v>1087</v>
      </c>
      <c r="J187">
        <v>2022</v>
      </c>
      <c r="K187" s="1" t="str">
        <f>VLOOKUP(uslugi411[[#This Row],[NIP]],nip_firm612[],2,FALSE)</f>
        <v>WROCBUD1</v>
      </c>
      <c r="L187" s="1" t="str">
        <f>_xlfn.CONCAT(uslugi411[[#This Row],[ozn]:[nr]])</f>
        <v>DW45333</v>
      </c>
    </row>
    <row r="188" spans="1:12" x14ac:dyDescent="0.25">
      <c r="A188" s="5" t="s">
        <v>506</v>
      </c>
      <c r="B188" s="6" t="s">
        <v>507</v>
      </c>
      <c r="C188" s="6" t="s">
        <v>508</v>
      </c>
      <c r="D188" s="7" t="s">
        <v>7</v>
      </c>
      <c r="F188">
        <v>1871447797</v>
      </c>
      <c r="G188" s="1" t="s">
        <v>248</v>
      </c>
      <c r="H188" s="1" t="s">
        <v>1268</v>
      </c>
      <c r="I188" s="1" t="s">
        <v>1081</v>
      </c>
      <c r="J188">
        <v>2350</v>
      </c>
      <c r="K188" s="1" t="str">
        <f>VLOOKUP(uslugi411[[#This Row],[NIP]],nip_firm612[],2,FALSE)</f>
        <v>OBOR</v>
      </c>
      <c r="L188" s="1" t="str">
        <f>_xlfn.CONCAT(uslugi411[[#This Row],[ozn]:[nr]])</f>
        <v>SJO54JT</v>
      </c>
    </row>
    <row r="189" spans="1:12" x14ac:dyDescent="0.25">
      <c r="A189" s="2" t="s">
        <v>509</v>
      </c>
      <c r="B189" s="3" t="s">
        <v>507</v>
      </c>
      <c r="C189" s="3" t="s">
        <v>510</v>
      </c>
      <c r="D189" s="4" t="s">
        <v>7</v>
      </c>
      <c r="F189">
        <v>4761158900</v>
      </c>
      <c r="G189" s="1" t="s">
        <v>294</v>
      </c>
      <c r="H189" s="1" t="s">
        <v>1269</v>
      </c>
      <c r="I189" s="1" t="s">
        <v>1087</v>
      </c>
      <c r="J189">
        <v>2468</v>
      </c>
      <c r="K189" s="1" t="str">
        <f>VLOOKUP(uslugi411[[#This Row],[NIP]],nip_firm612[],2,FALSE)</f>
        <v>WROCBUD3</v>
      </c>
      <c r="L189" s="1" t="str">
        <f>_xlfn.CONCAT(uslugi411[[#This Row],[ozn]:[nr]])</f>
        <v>OKL82019</v>
      </c>
    </row>
    <row r="190" spans="1:12" x14ac:dyDescent="0.25">
      <c r="A190" s="5" t="s">
        <v>511</v>
      </c>
      <c r="B190" s="6" t="s">
        <v>512</v>
      </c>
      <c r="C190" s="6" t="s">
        <v>513</v>
      </c>
      <c r="D190" s="7" t="s">
        <v>7</v>
      </c>
      <c r="F190">
        <v>2581219876</v>
      </c>
      <c r="G190" s="1" t="s">
        <v>141</v>
      </c>
      <c r="H190" s="1" t="s">
        <v>1270</v>
      </c>
      <c r="I190" s="1" t="s">
        <v>1081</v>
      </c>
      <c r="J190">
        <v>2610</v>
      </c>
      <c r="K190" s="1" t="str">
        <f>VLOOKUP(uslugi411[[#This Row],[NIP]],nip_firm612[],2,FALSE)</f>
        <v>TECH-MASZ</v>
      </c>
      <c r="L190" s="1" t="str">
        <f>_xlfn.CONCAT(uslugi411[[#This Row],[ozn]:[nr]])</f>
        <v>NEB6C31</v>
      </c>
    </row>
    <row r="191" spans="1:12" x14ac:dyDescent="0.25">
      <c r="A191" s="2" t="s">
        <v>514</v>
      </c>
      <c r="B191" s="3" t="s">
        <v>515</v>
      </c>
      <c r="C191" s="3" t="s">
        <v>516</v>
      </c>
      <c r="D191" s="4" t="s">
        <v>7</v>
      </c>
      <c r="F191">
        <v>4580185570</v>
      </c>
      <c r="G191" s="1" t="s">
        <v>248</v>
      </c>
      <c r="H191" s="1" t="s">
        <v>1271</v>
      </c>
      <c r="I191" s="1" t="s">
        <v>1087</v>
      </c>
      <c r="J191">
        <v>3204</v>
      </c>
      <c r="K191" s="1" t="str">
        <f>VLOOKUP(uslugi411[[#This Row],[NIP]],nip_firm612[],2,FALSE)</f>
        <v>JELORA</v>
      </c>
      <c r="L191" s="1" t="str">
        <f>_xlfn.CONCAT(uslugi411[[#This Row],[ozn]:[nr]])</f>
        <v>SJJJ547</v>
      </c>
    </row>
    <row r="192" spans="1:12" x14ac:dyDescent="0.25">
      <c r="A192" s="5" t="s">
        <v>517</v>
      </c>
      <c r="B192" s="6" t="s">
        <v>518</v>
      </c>
      <c r="C192" s="6" t="s">
        <v>519</v>
      </c>
      <c r="D192" s="7" t="s">
        <v>7</v>
      </c>
      <c r="F192">
        <v>1599095267</v>
      </c>
      <c r="G192" s="1" t="s">
        <v>248</v>
      </c>
      <c r="H192" s="1" t="s">
        <v>1272</v>
      </c>
      <c r="I192" s="1" t="s">
        <v>1087</v>
      </c>
      <c r="J192">
        <v>2516</v>
      </c>
      <c r="K192" s="1" t="str">
        <f>VLOOKUP(uslugi411[[#This Row],[NIP]],nip_firm612[],2,FALSE)</f>
        <v>ZONAN</v>
      </c>
      <c r="L192" s="1" t="str">
        <f>_xlfn.CONCAT(uslugi411[[#This Row],[ozn]:[nr]])</f>
        <v>SJPP132</v>
      </c>
    </row>
    <row r="193" spans="1:12" x14ac:dyDescent="0.25">
      <c r="A193" s="2" t="s">
        <v>520</v>
      </c>
      <c r="B193" s="3" t="s">
        <v>521</v>
      </c>
      <c r="C193" s="3" t="s">
        <v>522</v>
      </c>
      <c r="D193" s="4" t="s">
        <v>7</v>
      </c>
      <c r="F193">
        <v>3357631311</v>
      </c>
      <c r="G193" s="1" t="s">
        <v>1030</v>
      </c>
      <c r="H193" s="1" t="s">
        <v>1273</v>
      </c>
      <c r="I193" s="1" t="s">
        <v>1087</v>
      </c>
      <c r="J193">
        <v>1792</v>
      </c>
      <c r="K193" s="1" t="str">
        <f>VLOOKUP(uslugi411[[#This Row],[NIP]],nip_firm612[],2,FALSE)</f>
        <v>GAZPOL</v>
      </c>
      <c r="L193" s="1" t="str">
        <f>_xlfn.CONCAT(uslugi411[[#This Row],[ozn]:[nr]])</f>
        <v>LZAV638</v>
      </c>
    </row>
    <row r="194" spans="1:12" x14ac:dyDescent="0.25">
      <c r="A194" s="5" t="s">
        <v>523</v>
      </c>
      <c r="B194" s="6" t="s">
        <v>524</v>
      </c>
      <c r="C194" s="6" t="s">
        <v>525</v>
      </c>
      <c r="D194" s="7" t="s">
        <v>7</v>
      </c>
      <c r="F194">
        <v>4241680809</v>
      </c>
      <c r="G194" s="1" t="s">
        <v>777</v>
      </c>
      <c r="H194" s="1" t="s">
        <v>1274</v>
      </c>
      <c r="I194" s="1" t="s">
        <v>1081</v>
      </c>
      <c r="J194">
        <v>2885</v>
      </c>
      <c r="K194" s="1" t="str">
        <f>VLOOKUP(uslugi411[[#This Row],[NIP]],nip_firm612[],2,FALSE)</f>
        <v>WROCBUD4</v>
      </c>
      <c r="L194" s="1" t="str">
        <f>_xlfn.CONCAT(uslugi411[[#This Row],[ozn]:[nr]])</f>
        <v>SORH348</v>
      </c>
    </row>
    <row r="195" spans="1:12" x14ac:dyDescent="0.25">
      <c r="A195" s="2" t="s">
        <v>526</v>
      </c>
      <c r="B195" s="3" t="s">
        <v>516</v>
      </c>
      <c r="C195" s="3" t="s">
        <v>516</v>
      </c>
      <c r="D195" s="4" t="s">
        <v>22</v>
      </c>
      <c r="F195">
        <v>2281651150</v>
      </c>
      <c r="G195" s="1" t="s">
        <v>552</v>
      </c>
      <c r="H195" s="1" t="s">
        <v>1275</v>
      </c>
      <c r="I195" s="1" t="s">
        <v>1087</v>
      </c>
      <c r="J195">
        <v>2550</v>
      </c>
      <c r="K195" s="1" t="str">
        <f>VLOOKUP(uslugi411[[#This Row],[NIP]],nip_firm612[],2,FALSE)</f>
        <v>MAZUTEX</v>
      </c>
      <c r="L195" s="1" t="str">
        <f>_xlfn.CONCAT(uslugi411[[#This Row],[ozn]:[nr]])</f>
        <v>NOL16LG</v>
      </c>
    </row>
    <row r="196" spans="1:12" x14ac:dyDescent="0.25">
      <c r="A196" s="5" t="s">
        <v>527</v>
      </c>
      <c r="B196" s="6" t="s">
        <v>528</v>
      </c>
      <c r="C196" s="6" t="s">
        <v>529</v>
      </c>
      <c r="D196" s="7" t="s">
        <v>7</v>
      </c>
      <c r="F196">
        <v>4779174699</v>
      </c>
      <c r="G196" s="1" t="s">
        <v>1003</v>
      </c>
      <c r="H196" s="1" t="s">
        <v>1276</v>
      </c>
      <c r="I196" s="1" t="s">
        <v>1081</v>
      </c>
      <c r="J196">
        <v>2362</v>
      </c>
      <c r="K196" s="1" t="str">
        <f>VLOOKUP(uslugi411[[#This Row],[NIP]],nip_firm612[],2,FALSE)</f>
        <v>FASO</v>
      </c>
      <c r="L196" s="1" t="str">
        <f>_xlfn.CONCAT(uslugi411[[#This Row],[ozn]:[nr]])</f>
        <v>DW3881E</v>
      </c>
    </row>
    <row r="197" spans="1:12" x14ac:dyDescent="0.25">
      <c r="A197" s="2" t="s">
        <v>530</v>
      </c>
      <c r="B197" s="3" t="s">
        <v>531</v>
      </c>
      <c r="C197" s="3" t="s">
        <v>532</v>
      </c>
      <c r="D197" s="4" t="s">
        <v>7</v>
      </c>
      <c r="F197">
        <v>5624201652</v>
      </c>
      <c r="G197" s="1" t="s">
        <v>864</v>
      </c>
      <c r="H197" s="1" t="s">
        <v>1277</v>
      </c>
      <c r="I197" s="1" t="s">
        <v>1081</v>
      </c>
      <c r="J197">
        <v>3216</v>
      </c>
      <c r="K197" s="1" t="str">
        <f>VLOOKUP(uslugi411[[#This Row],[NIP]],nip_firm612[],2,FALSE)</f>
        <v>FAL-STAL</v>
      </c>
      <c r="L197" s="1" t="str">
        <f>_xlfn.CONCAT(uslugi411[[#This Row],[ozn]:[nr]])</f>
        <v>STA97AK</v>
      </c>
    </row>
    <row r="198" spans="1:12" x14ac:dyDescent="0.25">
      <c r="A198" s="5" t="s">
        <v>533</v>
      </c>
      <c r="B198" s="6" t="s">
        <v>534</v>
      </c>
      <c r="C198" s="6" t="s">
        <v>535</v>
      </c>
      <c r="D198" s="7" t="s">
        <v>7</v>
      </c>
      <c r="F198">
        <v>3866883575</v>
      </c>
      <c r="G198" s="1" t="s">
        <v>434</v>
      </c>
      <c r="H198" s="1" t="s">
        <v>1278</v>
      </c>
      <c r="I198" s="1" t="s">
        <v>1087</v>
      </c>
      <c r="J198">
        <v>2034</v>
      </c>
      <c r="K198" s="1" t="str">
        <f>VLOOKUP(uslugi411[[#This Row],[NIP]],nip_firm612[],2,FALSE)</f>
        <v>KPICO</v>
      </c>
      <c r="L198" s="1" t="str">
        <f>_xlfn.CONCAT(uslugi411[[#This Row],[ozn]:[nr]])</f>
        <v>LU16798</v>
      </c>
    </row>
    <row r="199" spans="1:12" x14ac:dyDescent="0.25">
      <c r="A199" s="2" t="s">
        <v>536</v>
      </c>
      <c r="B199" s="3" t="s">
        <v>537</v>
      </c>
      <c r="C199" s="3" t="s">
        <v>538</v>
      </c>
      <c r="D199" s="4" t="s">
        <v>7</v>
      </c>
      <c r="F199">
        <v>4796841112</v>
      </c>
      <c r="G199" s="1" t="s">
        <v>533</v>
      </c>
      <c r="H199" s="1" t="s">
        <v>1279</v>
      </c>
      <c r="I199" s="1" t="s">
        <v>1087</v>
      </c>
      <c r="J199">
        <v>1885</v>
      </c>
      <c r="K199" s="1" t="str">
        <f>VLOOKUP(uslugi411[[#This Row],[NIP]],nip_firm612[],2,FALSE)</f>
        <v>WARM S. A.</v>
      </c>
      <c r="L199" s="1" t="str">
        <f>_xlfn.CONCAT(uslugi411[[#This Row],[ozn]:[nr]])</f>
        <v>DOAK674</v>
      </c>
    </row>
    <row r="200" spans="1:12" x14ac:dyDescent="0.25">
      <c r="A200" s="5" t="s">
        <v>539</v>
      </c>
      <c r="B200" s="6" t="s">
        <v>540</v>
      </c>
      <c r="C200" s="6" t="s">
        <v>538</v>
      </c>
      <c r="D200" s="7" t="s">
        <v>7</v>
      </c>
      <c r="F200">
        <v>5341884086</v>
      </c>
      <c r="G200" s="1" t="s">
        <v>777</v>
      </c>
      <c r="H200" s="1" t="s">
        <v>1280</v>
      </c>
      <c r="I200" s="1" t="s">
        <v>1087</v>
      </c>
      <c r="J200">
        <v>2490</v>
      </c>
      <c r="K200" s="1" t="str">
        <f>VLOOKUP(uslugi411[[#This Row],[NIP]],nip_firm612[],2,FALSE)</f>
        <v>SENIN</v>
      </c>
      <c r="L200" s="1" t="str">
        <f>_xlfn.CONCAT(uslugi411[[#This Row],[ozn]:[nr]])</f>
        <v>SOSB135</v>
      </c>
    </row>
    <row r="201" spans="1:12" x14ac:dyDescent="0.25">
      <c r="A201" s="2" t="s">
        <v>541</v>
      </c>
      <c r="B201" s="3" t="s">
        <v>542</v>
      </c>
      <c r="C201" s="3" t="s">
        <v>543</v>
      </c>
      <c r="D201" s="4" t="s">
        <v>7</v>
      </c>
      <c r="F201">
        <v>4779174699</v>
      </c>
      <c r="G201" s="1" t="s">
        <v>1003</v>
      </c>
      <c r="H201" s="1" t="s">
        <v>1281</v>
      </c>
      <c r="I201" s="1" t="s">
        <v>1081</v>
      </c>
      <c r="J201">
        <v>2580</v>
      </c>
      <c r="K201" s="1" t="str">
        <f>VLOOKUP(uslugi411[[#This Row],[NIP]],nip_firm612[],2,FALSE)</f>
        <v>FASO</v>
      </c>
      <c r="L201" s="1" t="str">
        <f>_xlfn.CONCAT(uslugi411[[#This Row],[ozn]:[nr]])</f>
        <v>DW3831W</v>
      </c>
    </row>
    <row r="202" spans="1:12" x14ac:dyDescent="0.25">
      <c r="A202" s="5" t="s">
        <v>544</v>
      </c>
      <c r="B202" s="6" t="s">
        <v>545</v>
      </c>
      <c r="C202" s="6" t="s">
        <v>546</v>
      </c>
      <c r="D202" s="7" t="s">
        <v>7</v>
      </c>
      <c r="F202">
        <v>5514533376</v>
      </c>
      <c r="G202" s="1" t="s">
        <v>40</v>
      </c>
      <c r="H202" s="1" t="s">
        <v>1282</v>
      </c>
      <c r="I202" s="1" t="s">
        <v>1081</v>
      </c>
      <c r="J202">
        <v>2634</v>
      </c>
      <c r="K202" s="1" t="str">
        <f>VLOOKUP(uslugi411[[#This Row],[NIP]],nip_firm612[],2,FALSE)</f>
        <v>BYTOM2</v>
      </c>
      <c r="L202" s="1" t="str">
        <f>_xlfn.CONCAT(uslugi411[[#This Row],[ozn]:[nr]])</f>
        <v>SB26698</v>
      </c>
    </row>
    <row r="203" spans="1:12" x14ac:dyDescent="0.25">
      <c r="A203" s="2" t="s">
        <v>547</v>
      </c>
      <c r="B203" s="3" t="s">
        <v>548</v>
      </c>
      <c r="C203" s="3" t="s">
        <v>549</v>
      </c>
      <c r="D203" s="4" t="s">
        <v>7</v>
      </c>
      <c r="F203">
        <v>3470453173</v>
      </c>
      <c r="G203" s="1" t="s">
        <v>85</v>
      </c>
      <c r="H203" s="1" t="s">
        <v>1283</v>
      </c>
      <c r="I203" s="1" t="s">
        <v>1087</v>
      </c>
      <c r="J203">
        <v>2584</v>
      </c>
      <c r="K203" s="1" t="str">
        <f>VLOOKUP(uslugi411[[#This Row],[NIP]],nip_firm612[],2,FALSE)</f>
        <v>MASPOL</v>
      </c>
      <c r="L203" s="1" t="str">
        <f>_xlfn.CONCAT(uslugi411[[#This Row],[ozn]:[nr]])</f>
        <v>LC7901K</v>
      </c>
    </row>
    <row r="204" spans="1:12" x14ac:dyDescent="0.25">
      <c r="A204" s="5" t="s">
        <v>550</v>
      </c>
      <c r="B204" s="6" t="s">
        <v>551</v>
      </c>
      <c r="C204" s="6" t="s">
        <v>551</v>
      </c>
      <c r="D204" s="7" t="s">
        <v>22</v>
      </c>
      <c r="F204">
        <v>4796841112</v>
      </c>
      <c r="G204" s="1" t="s">
        <v>533</v>
      </c>
      <c r="H204" s="1" t="s">
        <v>1284</v>
      </c>
      <c r="I204" s="1" t="s">
        <v>1081</v>
      </c>
      <c r="J204">
        <v>2576</v>
      </c>
      <c r="K204" s="1" t="str">
        <f>VLOOKUP(uslugi411[[#This Row],[NIP]],nip_firm612[],2,FALSE)</f>
        <v>WARM S. A.</v>
      </c>
      <c r="L204" s="1" t="str">
        <f>_xlfn.CONCAT(uslugi411[[#This Row],[ozn]:[nr]])</f>
        <v>DOAU676</v>
      </c>
    </row>
    <row r="205" spans="1:12" x14ac:dyDescent="0.25">
      <c r="A205" s="2" t="s">
        <v>552</v>
      </c>
      <c r="B205" s="3" t="s">
        <v>553</v>
      </c>
      <c r="C205" s="3" t="s">
        <v>551</v>
      </c>
      <c r="D205" s="4" t="s">
        <v>7</v>
      </c>
      <c r="F205">
        <v>5266741491</v>
      </c>
      <c r="G205" s="1" t="s">
        <v>777</v>
      </c>
      <c r="H205" s="1" t="s">
        <v>1285</v>
      </c>
      <c r="I205" s="1" t="s">
        <v>1087</v>
      </c>
      <c r="J205">
        <v>1946</v>
      </c>
      <c r="K205" s="1" t="str">
        <f>VLOOKUP(uslugi411[[#This Row],[NIP]],nip_firm612[],2,FALSE)</f>
        <v>PIEKAR</v>
      </c>
      <c r="L205" s="1" t="str">
        <f>_xlfn.CONCAT(uslugi411[[#This Row],[ozn]:[nr]])</f>
        <v>SOP44AB</v>
      </c>
    </row>
    <row r="206" spans="1:12" x14ac:dyDescent="0.25">
      <c r="A206" s="5" t="s">
        <v>554</v>
      </c>
      <c r="B206" s="6" t="s">
        <v>555</v>
      </c>
      <c r="C206" s="6" t="s">
        <v>556</v>
      </c>
      <c r="D206" s="7" t="s">
        <v>7</v>
      </c>
      <c r="F206">
        <v>4715154852</v>
      </c>
      <c r="G206" s="1" t="s">
        <v>1003</v>
      </c>
      <c r="H206" s="1" t="s">
        <v>1286</v>
      </c>
      <c r="I206" s="1" t="s">
        <v>1081</v>
      </c>
      <c r="J206">
        <v>2880</v>
      </c>
      <c r="K206" s="1" t="str">
        <f>VLOOKUP(uslugi411[[#This Row],[NIP]],nip_firm612[],2,FALSE)</f>
        <v>NAFTO-GAZ</v>
      </c>
      <c r="L206" s="1" t="str">
        <f>_xlfn.CONCAT(uslugi411[[#This Row],[ozn]:[nr]])</f>
        <v>DW23613</v>
      </c>
    </row>
    <row r="207" spans="1:12" x14ac:dyDescent="0.25">
      <c r="A207" s="2" t="s">
        <v>557</v>
      </c>
      <c r="B207" s="3" t="s">
        <v>558</v>
      </c>
      <c r="C207" s="3" t="s">
        <v>559</v>
      </c>
      <c r="D207" s="4" t="s">
        <v>7</v>
      </c>
      <c r="F207">
        <v>5418968184</v>
      </c>
      <c r="G207" s="1" t="s">
        <v>777</v>
      </c>
      <c r="H207" s="1" t="s">
        <v>1287</v>
      </c>
      <c r="I207" s="1" t="s">
        <v>1081</v>
      </c>
      <c r="J207">
        <v>2630</v>
      </c>
      <c r="K207" s="1" t="str">
        <f>VLOOKUP(uslugi411[[#This Row],[NIP]],nip_firm612[],2,FALSE)</f>
        <v>SOSNEC</v>
      </c>
      <c r="L207" s="1" t="str">
        <f>_xlfn.CONCAT(uslugi411[[#This Row],[ozn]:[nr]])</f>
        <v>SOO64VB</v>
      </c>
    </row>
    <row r="208" spans="1:12" x14ac:dyDescent="0.25">
      <c r="A208" s="5" t="s">
        <v>560</v>
      </c>
      <c r="B208" s="6" t="s">
        <v>561</v>
      </c>
      <c r="C208" s="6" t="s">
        <v>561</v>
      </c>
      <c r="D208" s="7" t="s">
        <v>22</v>
      </c>
      <c r="F208">
        <v>1599095267</v>
      </c>
      <c r="G208" s="1" t="s">
        <v>777</v>
      </c>
      <c r="H208" s="1" t="s">
        <v>1288</v>
      </c>
      <c r="I208" s="1" t="s">
        <v>1087</v>
      </c>
      <c r="J208">
        <v>2112</v>
      </c>
      <c r="K208" s="1" t="str">
        <f>VLOOKUP(uslugi411[[#This Row],[NIP]],nip_firm612[],2,FALSE)</f>
        <v>ZONAN</v>
      </c>
      <c r="L208" s="1" t="str">
        <f>_xlfn.CONCAT(uslugi411[[#This Row],[ozn]:[nr]])</f>
        <v>SOPL129</v>
      </c>
    </row>
    <row r="209" spans="1:12" x14ac:dyDescent="0.25">
      <c r="A209" s="2" t="s">
        <v>562</v>
      </c>
      <c r="B209" s="3" t="s">
        <v>563</v>
      </c>
      <c r="C209" s="3" t="s">
        <v>561</v>
      </c>
      <c r="D209" s="4" t="s">
        <v>7</v>
      </c>
      <c r="F209">
        <v>1433397952</v>
      </c>
      <c r="G209" s="1" t="s">
        <v>314</v>
      </c>
      <c r="H209" s="1" t="s">
        <v>1289</v>
      </c>
      <c r="I209" s="1" t="s">
        <v>1081</v>
      </c>
      <c r="J209">
        <v>2928</v>
      </c>
      <c r="K209" s="1" t="str">
        <f>VLOOKUP(uslugi411[[#This Row],[NIP]],nip_firm612[],2,FALSE)</f>
        <v>BARTEX</v>
      </c>
      <c r="L209" s="1" t="str">
        <f>_xlfn.CONCAT(uslugi411[[#This Row],[ozn]:[nr]])</f>
        <v>PN3621I</v>
      </c>
    </row>
    <row r="210" spans="1:12" x14ac:dyDescent="0.25">
      <c r="A210" s="5" t="s">
        <v>564</v>
      </c>
      <c r="B210" s="6" t="s">
        <v>563</v>
      </c>
      <c r="C210" s="6" t="s">
        <v>565</v>
      </c>
      <c r="D210" s="7" t="s">
        <v>7</v>
      </c>
      <c r="F210">
        <v>2281651150</v>
      </c>
      <c r="G210" s="1" t="s">
        <v>552</v>
      </c>
      <c r="H210" s="1" t="s">
        <v>1290</v>
      </c>
      <c r="I210" s="1" t="s">
        <v>1087</v>
      </c>
      <c r="J210">
        <v>2295</v>
      </c>
      <c r="K210" s="1" t="str">
        <f>VLOOKUP(uslugi411[[#This Row],[NIP]],nip_firm612[],2,FALSE)</f>
        <v>MAZUTEX</v>
      </c>
      <c r="L210" s="1" t="str">
        <f>_xlfn.CONCAT(uslugi411[[#This Row],[ozn]:[nr]])</f>
        <v>NOLN650</v>
      </c>
    </row>
    <row r="211" spans="1:12" x14ac:dyDescent="0.25">
      <c r="A211" s="2" t="s">
        <v>566</v>
      </c>
      <c r="B211" s="3" t="s">
        <v>567</v>
      </c>
      <c r="C211" s="3" t="s">
        <v>568</v>
      </c>
      <c r="D211" s="4" t="s">
        <v>7</v>
      </c>
      <c r="F211">
        <v>5341884086</v>
      </c>
      <c r="G211" s="1" t="s">
        <v>777</v>
      </c>
      <c r="H211" s="1" t="s">
        <v>1291</v>
      </c>
      <c r="I211" s="1" t="s">
        <v>1081</v>
      </c>
      <c r="J211">
        <v>2556</v>
      </c>
      <c r="K211" s="1" t="str">
        <f>VLOOKUP(uslugi411[[#This Row],[NIP]],nip_firm612[],2,FALSE)</f>
        <v>SENIN</v>
      </c>
      <c r="L211" s="1" t="str">
        <f>_xlfn.CONCAT(uslugi411[[#This Row],[ozn]:[nr]])</f>
        <v>SOS34YB</v>
      </c>
    </row>
    <row r="212" spans="1:12" x14ac:dyDescent="0.25">
      <c r="A212" s="5" t="s">
        <v>569</v>
      </c>
      <c r="B212" s="6" t="s">
        <v>570</v>
      </c>
      <c r="C212" s="6" t="s">
        <v>571</v>
      </c>
      <c r="D212" s="7" t="s">
        <v>7</v>
      </c>
      <c r="F212">
        <v>3568004264</v>
      </c>
      <c r="G212" s="1" t="s">
        <v>428</v>
      </c>
      <c r="H212" s="1" t="s">
        <v>1292</v>
      </c>
      <c r="I212" s="1" t="s">
        <v>1081</v>
      </c>
      <c r="J212">
        <v>2568</v>
      </c>
      <c r="K212" s="1" t="str">
        <f>VLOOKUP(uslugi411[[#This Row],[NIP]],nip_firm612[],2,FALSE)</f>
        <v>MURATOR</v>
      </c>
      <c r="L212" s="1" t="str">
        <f>_xlfn.CONCAT(uslugi411[[#This Row],[ozn]:[nr]])</f>
        <v>LUBZ620</v>
      </c>
    </row>
    <row r="213" spans="1:12" x14ac:dyDescent="0.25">
      <c r="A213" s="2" t="s">
        <v>572</v>
      </c>
      <c r="B213" s="3" t="s">
        <v>571</v>
      </c>
      <c r="C213" s="3" t="s">
        <v>571</v>
      </c>
      <c r="D213" s="4" t="s">
        <v>22</v>
      </c>
      <c r="F213">
        <v>5185759244</v>
      </c>
      <c r="G213" s="1" t="s">
        <v>777</v>
      </c>
      <c r="H213" s="1" t="s">
        <v>1293</v>
      </c>
      <c r="I213" s="1" t="s">
        <v>1081</v>
      </c>
      <c r="J213">
        <v>2674</v>
      </c>
      <c r="K213" s="1" t="str">
        <f>VLOOKUP(uslugi411[[#This Row],[NIP]],nip_firm612[],2,FALSE)</f>
        <v>BYTOM1</v>
      </c>
      <c r="L213" s="1" t="str">
        <f>_xlfn.CONCAT(uslugi411[[#This Row],[ozn]:[nr]])</f>
        <v>SOY28XU</v>
      </c>
    </row>
    <row r="214" spans="1:12" x14ac:dyDescent="0.25">
      <c r="A214" s="5" t="s">
        <v>573</v>
      </c>
      <c r="B214" s="6" t="s">
        <v>574</v>
      </c>
      <c r="C214" s="6" t="s">
        <v>575</v>
      </c>
      <c r="D214" s="7" t="s">
        <v>7</v>
      </c>
      <c r="F214">
        <v>4326751508</v>
      </c>
      <c r="G214" s="1" t="s">
        <v>40</v>
      </c>
      <c r="H214" s="1" t="s">
        <v>1294</v>
      </c>
      <c r="I214" s="1" t="s">
        <v>1081</v>
      </c>
      <c r="J214">
        <v>3120</v>
      </c>
      <c r="K214" s="1" t="str">
        <f>VLOOKUP(uslugi411[[#This Row],[NIP]],nip_firm612[],2,FALSE)</f>
        <v>WROCBUD2</v>
      </c>
      <c r="L214" s="1" t="str">
        <f>_xlfn.CONCAT(uslugi411[[#This Row],[ozn]:[nr]])</f>
        <v>SB47578</v>
      </c>
    </row>
    <row r="215" spans="1:12" x14ac:dyDescent="0.25">
      <c r="A215" s="2" t="s">
        <v>576</v>
      </c>
      <c r="B215" s="3" t="s">
        <v>577</v>
      </c>
      <c r="C215" s="3" t="s">
        <v>578</v>
      </c>
      <c r="D215" s="4" t="s">
        <v>7</v>
      </c>
      <c r="F215">
        <v>1433397952</v>
      </c>
      <c r="G215" s="1" t="s">
        <v>314</v>
      </c>
      <c r="H215" s="1" t="s">
        <v>1295</v>
      </c>
      <c r="I215" s="1" t="s">
        <v>1087</v>
      </c>
      <c r="J215">
        <v>1896</v>
      </c>
      <c r="K215" s="1" t="str">
        <f>VLOOKUP(uslugi411[[#This Row],[NIP]],nip_firm612[],2,FALSE)</f>
        <v>BARTEX</v>
      </c>
      <c r="L215" s="1" t="str">
        <f>_xlfn.CONCAT(uslugi411[[#This Row],[ozn]:[nr]])</f>
        <v>PN16834</v>
      </c>
    </row>
    <row r="216" spans="1:12" x14ac:dyDescent="0.25">
      <c r="A216" s="5" t="s">
        <v>579</v>
      </c>
      <c r="B216" s="6" t="s">
        <v>577</v>
      </c>
      <c r="C216" s="6" t="s">
        <v>580</v>
      </c>
      <c r="D216" s="7" t="s">
        <v>7</v>
      </c>
      <c r="F216">
        <v>4779174699</v>
      </c>
      <c r="G216" s="1" t="s">
        <v>1003</v>
      </c>
      <c r="H216" s="1" t="s">
        <v>1296</v>
      </c>
      <c r="I216" s="1" t="s">
        <v>1087</v>
      </c>
      <c r="J216">
        <v>2608</v>
      </c>
      <c r="K216" s="1" t="str">
        <f>VLOOKUP(uslugi411[[#This Row],[NIP]],nip_firm612[],2,FALSE)</f>
        <v>FASO</v>
      </c>
      <c r="L216" s="1" t="str">
        <f>_xlfn.CONCAT(uslugi411[[#This Row],[ozn]:[nr]])</f>
        <v>DW16844</v>
      </c>
    </row>
    <row r="217" spans="1:12" x14ac:dyDescent="0.25">
      <c r="A217" s="2" t="s">
        <v>581</v>
      </c>
      <c r="B217" s="3" t="s">
        <v>582</v>
      </c>
      <c r="C217" s="3" t="s">
        <v>583</v>
      </c>
      <c r="D217" s="4" t="s">
        <v>7</v>
      </c>
      <c r="F217">
        <v>3678947206</v>
      </c>
      <c r="G217" s="1" t="s">
        <v>527</v>
      </c>
      <c r="H217" s="1" t="s">
        <v>1297</v>
      </c>
      <c r="I217" s="1" t="s">
        <v>1087</v>
      </c>
      <c r="J217">
        <v>2154</v>
      </c>
      <c r="K217" s="1" t="str">
        <f>VLOOKUP(uslugi411[[#This Row],[NIP]],nip_firm612[],2,FALSE)</f>
        <v>LUBLIN2</v>
      </c>
      <c r="L217" s="1" t="str">
        <f>_xlfn.CONCAT(uslugi411[[#This Row],[ozn]:[nr]])</f>
        <v>ONY1267</v>
      </c>
    </row>
    <row r="218" spans="1:12" x14ac:dyDescent="0.25">
      <c r="A218" s="5" t="s">
        <v>584</v>
      </c>
      <c r="B218" s="6" t="s">
        <v>585</v>
      </c>
      <c r="C218" s="6" t="s">
        <v>586</v>
      </c>
      <c r="D218" s="7" t="s">
        <v>7</v>
      </c>
      <c r="F218">
        <v>1939065269</v>
      </c>
      <c r="G218" s="1" t="s">
        <v>636</v>
      </c>
      <c r="H218" s="1" t="s">
        <v>1298</v>
      </c>
      <c r="I218" s="1" t="s">
        <v>1081</v>
      </c>
      <c r="J218">
        <v>2328</v>
      </c>
      <c r="K218" s="1" t="str">
        <f>VLOOKUP(uslugi411[[#This Row],[NIP]],nip_firm612[],2,FALSE)</f>
        <v>KUSTMASZ</v>
      </c>
      <c r="L218" s="1" t="str">
        <f>_xlfn.CONCAT(uslugi411[[#This Row],[ozn]:[nr]])</f>
        <v>PO16882</v>
      </c>
    </row>
    <row r="219" spans="1:12" x14ac:dyDescent="0.25">
      <c r="A219" s="2" t="s">
        <v>587</v>
      </c>
      <c r="B219" s="3" t="s">
        <v>588</v>
      </c>
      <c r="C219" s="3" t="s">
        <v>589</v>
      </c>
      <c r="D219" s="4" t="s">
        <v>7</v>
      </c>
      <c r="F219">
        <v>5514533376</v>
      </c>
      <c r="G219" s="1" t="s">
        <v>255</v>
      </c>
      <c r="H219" s="1" t="s">
        <v>1299</v>
      </c>
      <c r="I219" s="1" t="s">
        <v>1081</v>
      </c>
      <c r="J219">
        <v>2548</v>
      </c>
      <c r="K219" s="1" t="str">
        <f>VLOOKUP(uslugi411[[#This Row],[NIP]],nip_firm612[],2,FALSE)</f>
        <v>BYTOM2</v>
      </c>
      <c r="L219" s="1" t="str">
        <f>_xlfn.CONCAT(uslugi411[[#This Row],[ozn]:[nr]])</f>
        <v>DJE25688</v>
      </c>
    </row>
    <row r="220" spans="1:12" x14ac:dyDescent="0.25">
      <c r="A220" s="5" t="s">
        <v>590</v>
      </c>
      <c r="B220" s="6" t="s">
        <v>591</v>
      </c>
      <c r="C220" s="6" t="s">
        <v>592</v>
      </c>
      <c r="D220" s="7" t="s">
        <v>7</v>
      </c>
      <c r="F220">
        <v>5115061689</v>
      </c>
      <c r="G220" s="1" t="s">
        <v>704</v>
      </c>
      <c r="H220" s="1" t="s">
        <v>1300</v>
      </c>
      <c r="I220" s="1" t="s">
        <v>1087</v>
      </c>
      <c r="J220">
        <v>1902</v>
      </c>
      <c r="K220" s="1" t="str">
        <f>VLOOKUP(uslugi411[[#This Row],[NIP]],nip_firm612[],2,FALSE)</f>
        <v>BETON-STAL</v>
      </c>
      <c r="L220" s="1" t="str">
        <f>_xlfn.CONCAT(uslugi411[[#This Row],[ozn]:[nr]])</f>
        <v>SRSJ666</v>
      </c>
    </row>
    <row r="221" spans="1:12" x14ac:dyDescent="0.25">
      <c r="A221" s="2" t="s">
        <v>593</v>
      </c>
      <c r="B221" s="3" t="s">
        <v>594</v>
      </c>
      <c r="C221" s="3" t="s">
        <v>595</v>
      </c>
      <c r="D221" s="4" t="s">
        <v>7</v>
      </c>
      <c r="F221">
        <v>4326751508</v>
      </c>
      <c r="G221" s="1" t="s">
        <v>255</v>
      </c>
      <c r="H221" s="1" t="s">
        <v>1301</v>
      </c>
      <c r="I221" s="1" t="s">
        <v>1081</v>
      </c>
      <c r="J221">
        <v>2456</v>
      </c>
      <c r="K221" s="1" t="str">
        <f>VLOOKUP(uslugi411[[#This Row],[NIP]],nip_firm612[],2,FALSE)</f>
        <v>WROCBUD2</v>
      </c>
      <c r="L221" s="1" t="str">
        <f>_xlfn.CONCAT(uslugi411[[#This Row],[ozn]:[nr]])</f>
        <v>DJE52022</v>
      </c>
    </row>
    <row r="222" spans="1:12" x14ac:dyDescent="0.25">
      <c r="A222" s="5" t="s">
        <v>596</v>
      </c>
      <c r="B222" s="6" t="s">
        <v>597</v>
      </c>
      <c r="C222" s="6" t="s">
        <v>598</v>
      </c>
      <c r="D222" s="7" t="s">
        <v>7</v>
      </c>
      <c r="F222">
        <v>1278408463</v>
      </c>
      <c r="G222" s="1" t="s">
        <v>312</v>
      </c>
      <c r="H222" s="1" t="s">
        <v>1302</v>
      </c>
      <c r="I222" s="1" t="s">
        <v>1087</v>
      </c>
      <c r="J222">
        <v>2544</v>
      </c>
      <c r="K222" s="1" t="str">
        <f>VLOOKUP(uslugi411[[#This Row],[NIP]],nip_firm612[],2,FALSE)</f>
        <v>REFAMUR</v>
      </c>
      <c r="L222" s="1" t="str">
        <f>_xlfn.CONCAT(uslugi411[[#This Row],[ozn]:[nr]])</f>
        <v>PKO94RF</v>
      </c>
    </row>
    <row r="223" spans="1:12" x14ac:dyDescent="0.25">
      <c r="A223" s="2" t="s">
        <v>599</v>
      </c>
      <c r="B223" s="3" t="s">
        <v>600</v>
      </c>
      <c r="C223" s="3" t="s">
        <v>601</v>
      </c>
      <c r="D223" s="4" t="s">
        <v>7</v>
      </c>
      <c r="F223">
        <v>5528435390</v>
      </c>
      <c r="G223" s="1" t="s">
        <v>777</v>
      </c>
      <c r="H223" s="1" t="s">
        <v>1303</v>
      </c>
      <c r="I223" s="1" t="s">
        <v>1081</v>
      </c>
      <c r="J223">
        <v>3495</v>
      </c>
      <c r="K223" s="1" t="str">
        <f>VLOOKUP(uslugi411[[#This Row],[NIP]],nip_firm612[],2,FALSE)</f>
        <v>ZABER</v>
      </c>
      <c r="L223" s="1" t="str">
        <f>_xlfn.CONCAT(uslugi411[[#This Row],[ozn]:[nr]])</f>
        <v>SOA40FT</v>
      </c>
    </row>
    <row r="224" spans="1:12" x14ac:dyDescent="0.25">
      <c r="A224" s="5" t="s">
        <v>602</v>
      </c>
      <c r="B224" s="6" t="s">
        <v>603</v>
      </c>
      <c r="C224" s="6" t="s">
        <v>603</v>
      </c>
      <c r="D224" s="7" t="s">
        <v>22</v>
      </c>
      <c r="F224">
        <v>2138598159</v>
      </c>
      <c r="G224" s="1" t="s">
        <v>143</v>
      </c>
      <c r="H224" s="1" t="s">
        <v>1304</v>
      </c>
      <c r="I224" s="1" t="s">
        <v>1081</v>
      </c>
      <c r="J224">
        <v>2550</v>
      </c>
      <c r="K224" s="1" t="str">
        <f>VLOOKUP(uslugi411[[#This Row],[NIP]],nip_firm612[],2,FALSE)</f>
        <v>METALL</v>
      </c>
      <c r="L224" s="1" t="str">
        <f>_xlfn.CONCAT(uslugi411[[#This Row],[ozn]:[nr]])</f>
        <v>NELB596</v>
      </c>
    </row>
    <row r="225" spans="1:12" x14ac:dyDescent="0.25">
      <c r="A225" s="2" t="s">
        <v>604</v>
      </c>
      <c r="B225" s="3" t="s">
        <v>605</v>
      </c>
      <c r="C225" s="3" t="s">
        <v>606</v>
      </c>
      <c r="D225" s="4" t="s">
        <v>7</v>
      </c>
      <c r="F225">
        <v>1599095267</v>
      </c>
      <c r="G225" s="1" t="s">
        <v>777</v>
      </c>
      <c r="H225" s="1" t="s">
        <v>1305</v>
      </c>
      <c r="I225" s="1" t="s">
        <v>1087</v>
      </c>
      <c r="J225">
        <v>2448</v>
      </c>
      <c r="K225" s="1" t="str">
        <f>VLOOKUP(uslugi411[[#This Row],[NIP]],nip_firm612[],2,FALSE)</f>
        <v>ZONAN</v>
      </c>
      <c r="L225" s="1" t="str">
        <f>_xlfn.CONCAT(uslugi411[[#This Row],[ozn]:[nr]])</f>
        <v>SOPW131</v>
      </c>
    </row>
    <row r="226" spans="1:12" x14ac:dyDescent="0.25">
      <c r="A226" s="5" t="s">
        <v>607</v>
      </c>
      <c r="B226" s="6" t="s">
        <v>608</v>
      </c>
      <c r="C226" s="6" t="s">
        <v>609</v>
      </c>
      <c r="D226" s="7" t="s">
        <v>7</v>
      </c>
      <c r="F226">
        <v>5341884086</v>
      </c>
      <c r="G226" s="1" t="s">
        <v>777</v>
      </c>
      <c r="H226" s="1" t="s">
        <v>1306</v>
      </c>
      <c r="I226" s="1" t="s">
        <v>1081</v>
      </c>
      <c r="J226">
        <v>3645</v>
      </c>
      <c r="K226" s="1" t="str">
        <f>VLOOKUP(uslugi411[[#This Row],[NIP]],nip_firm612[],2,FALSE)</f>
        <v>SENIN</v>
      </c>
      <c r="L226" s="1" t="str">
        <f>_xlfn.CONCAT(uslugi411[[#This Row],[ozn]:[nr]])</f>
        <v>SOSX136</v>
      </c>
    </row>
    <row r="227" spans="1:12" x14ac:dyDescent="0.25">
      <c r="A227" s="2" t="s">
        <v>610</v>
      </c>
      <c r="B227" s="3" t="s">
        <v>611</v>
      </c>
      <c r="C227" s="3" t="s">
        <v>611</v>
      </c>
      <c r="D227" s="4" t="s">
        <v>22</v>
      </c>
      <c r="F227">
        <v>1433397952</v>
      </c>
      <c r="G227" s="1" t="s">
        <v>314</v>
      </c>
      <c r="H227" s="1" t="s">
        <v>1307</v>
      </c>
      <c r="I227" s="1" t="s">
        <v>1087</v>
      </c>
      <c r="J227">
        <v>2935</v>
      </c>
      <c r="K227" s="1" t="str">
        <f>VLOOKUP(uslugi411[[#This Row],[NIP]],nip_firm612[],2,FALSE)</f>
        <v>BARTEX</v>
      </c>
      <c r="L227" s="1" t="str">
        <f>_xlfn.CONCAT(uslugi411[[#This Row],[ozn]:[nr]])</f>
        <v>PN16822</v>
      </c>
    </row>
    <row r="228" spans="1:12" x14ac:dyDescent="0.25">
      <c r="A228" s="5" t="s">
        <v>612</v>
      </c>
      <c r="B228" s="6" t="s">
        <v>613</v>
      </c>
      <c r="C228" s="6" t="s">
        <v>611</v>
      </c>
      <c r="D228" s="7" t="s">
        <v>7</v>
      </c>
      <c r="F228">
        <v>2138598159</v>
      </c>
      <c r="G228" s="1" t="s">
        <v>143</v>
      </c>
      <c r="H228" s="1" t="s">
        <v>1308</v>
      </c>
      <c r="I228" s="1" t="s">
        <v>1087</v>
      </c>
      <c r="J228">
        <v>2834</v>
      </c>
      <c r="K228" s="1" t="str">
        <f>VLOOKUP(uslugi411[[#This Row],[NIP]],nip_firm612[],2,FALSE)</f>
        <v>METALL</v>
      </c>
      <c r="L228" s="1" t="str">
        <f>_xlfn.CONCAT(uslugi411[[#This Row],[ozn]:[nr]])</f>
        <v>NELI594</v>
      </c>
    </row>
    <row r="229" spans="1:12" x14ac:dyDescent="0.25">
      <c r="A229" s="2" t="s">
        <v>614</v>
      </c>
      <c r="B229" s="3" t="s">
        <v>615</v>
      </c>
      <c r="C229" s="3" t="s">
        <v>616</v>
      </c>
      <c r="D229" s="4" t="s">
        <v>7</v>
      </c>
      <c r="F229">
        <v>2625657803</v>
      </c>
      <c r="G229" s="1" t="s">
        <v>777</v>
      </c>
      <c r="H229" s="1" t="s">
        <v>1309</v>
      </c>
      <c r="I229" s="1" t="s">
        <v>1087</v>
      </c>
      <c r="J229">
        <v>1624</v>
      </c>
      <c r="K229" s="1" t="str">
        <f>VLOOKUP(uslugi411[[#This Row],[NIP]],nip_firm612[],2,FALSE)</f>
        <v>SUWAL</v>
      </c>
      <c r="L229" s="1" t="str">
        <f>_xlfn.CONCAT(uslugi411[[#This Row],[ozn]:[nr]])</f>
        <v>SOU50HG</v>
      </c>
    </row>
    <row r="230" spans="1:12" x14ac:dyDescent="0.25">
      <c r="A230" s="5" t="s">
        <v>617</v>
      </c>
      <c r="B230" s="6" t="s">
        <v>618</v>
      </c>
      <c r="C230" s="6" t="s">
        <v>619</v>
      </c>
      <c r="D230" s="7" t="s">
        <v>7</v>
      </c>
      <c r="F230">
        <v>1939065269</v>
      </c>
      <c r="G230" s="1" t="s">
        <v>636</v>
      </c>
      <c r="H230" s="1" t="s">
        <v>1310</v>
      </c>
      <c r="I230" s="1" t="s">
        <v>1081</v>
      </c>
      <c r="J230">
        <v>2574</v>
      </c>
      <c r="K230" s="1" t="str">
        <f>VLOOKUP(uslugi411[[#This Row],[NIP]],nip_firm612[],2,FALSE)</f>
        <v>KUSTMASZ</v>
      </c>
      <c r="L230" s="1" t="str">
        <f>_xlfn.CONCAT(uslugi411[[#This Row],[ozn]:[nr]])</f>
        <v>PO3951A</v>
      </c>
    </row>
    <row r="231" spans="1:12" x14ac:dyDescent="0.25">
      <c r="A231" s="2" t="s">
        <v>620</v>
      </c>
      <c r="B231" s="3" t="s">
        <v>621</v>
      </c>
      <c r="C231" s="3" t="s">
        <v>621</v>
      </c>
      <c r="D231" s="4" t="s">
        <v>22</v>
      </c>
      <c r="F231">
        <v>4326751508</v>
      </c>
      <c r="G231" s="1" t="s">
        <v>255</v>
      </c>
      <c r="H231" s="1" t="s">
        <v>1311</v>
      </c>
      <c r="I231" s="1" t="s">
        <v>1087</v>
      </c>
      <c r="J231">
        <v>1806</v>
      </c>
      <c r="K231" s="1" t="str">
        <f>VLOOKUP(uslugi411[[#This Row],[NIP]],nip_firm612[],2,FALSE)</f>
        <v>WROCBUD2</v>
      </c>
      <c r="L231" s="1" t="str">
        <f>_xlfn.CONCAT(uslugi411[[#This Row],[ozn]:[nr]])</f>
        <v>DJE54244</v>
      </c>
    </row>
    <row r="232" spans="1:12" x14ac:dyDescent="0.25">
      <c r="A232" s="5" t="s">
        <v>622</v>
      </c>
      <c r="B232" s="6" t="s">
        <v>623</v>
      </c>
      <c r="C232" s="6" t="s">
        <v>621</v>
      </c>
      <c r="D232" s="7" t="s">
        <v>7</v>
      </c>
      <c r="F232">
        <v>2138598159</v>
      </c>
      <c r="G232" s="1" t="s">
        <v>143</v>
      </c>
      <c r="H232" s="1" t="s">
        <v>1312</v>
      </c>
      <c r="I232" s="1" t="s">
        <v>1087</v>
      </c>
      <c r="J232">
        <v>3204</v>
      </c>
      <c r="K232" s="1" t="str">
        <f>VLOOKUP(uslugi411[[#This Row],[NIP]],nip_firm612[],2,FALSE)</f>
        <v>METALL</v>
      </c>
      <c r="L232" s="1" t="str">
        <f>_xlfn.CONCAT(uslugi411[[#This Row],[ozn]:[nr]])</f>
        <v>NELH592</v>
      </c>
    </row>
    <row r="233" spans="1:12" x14ac:dyDescent="0.25">
      <c r="A233" s="2" t="s">
        <v>624</v>
      </c>
      <c r="B233" s="3" t="s">
        <v>625</v>
      </c>
      <c r="C233" s="3" t="s">
        <v>626</v>
      </c>
      <c r="D233" s="4" t="s">
        <v>7</v>
      </c>
      <c r="F233">
        <v>4779174699</v>
      </c>
      <c r="G233" s="1" t="s">
        <v>1003</v>
      </c>
      <c r="H233" s="1" t="s">
        <v>1313</v>
      </c>
      <c r="I233" s="1" t="s">
        <v>1087</v>
      </c>
      <c r="J233">
        <v>1618</v>
      </c>
      <c r="K233" s="1" t="str">
        <f>VLOOKUP(uslugi411[[#This Row],[NIP]],nip_firm612[],2,FALSE)</f>
        <v>FASO</v>
      </c>
      <c r="L233" s="1" t="str">
        <f>_xlfn.CONCAT(uslugi411[[#This Row],[ozn]:[nr]])</f>
        <v>DW3861S</v>
      </c>
    </row>
    <row r="234" spans="1:12" x14ac:dyDescent="0.25">
      <c r="A234" s="5" t="s">
        <v>627</v>
      </c>
      <c r="B234" s="6" t="s">
        <v>628</v>
      </c>
      <c r="C234" s="6" t="s">
        <v>629</v>
      </c>
      <c r="D234" s="7" t="s">
        <v>7</v>
      </c>
      <c r="F234">
        <v>3568004264</v>
      </c>
      <c r="G234" s="1" t="s">
        <v>428</v>
      </c>
      <c r="H234" s="1" t="s">
        <v>1314</v>
      </c>
      <c r="I234" s="1" t="s">
        <v>1087</v>
      </c>
      <c r="J234">
        <v>2720</v>
      </c>
      <c r="K234" s="1" t="str">
        <f>VLOOKUP(uslugi411[[#This Row],[NIP]],nip_firm612[],2,FALSE)</f>
        <v>MURATOR</v>
      </c>
      <c r="L234" s="1" t="str">
        <f>_xlfn.CONCAT(uslugi411[[#This Row],[ozn]:[nr]])</f>
        <v>LUBX626</v>
      </c>
    </row>
    <row r="235" spans="1:12" x14ac:dyDescent="0.25">
      <c r="A235" s="2" t="s">
        <v>630</v>
      </c>
      <c r="B235" s="3" t="s">
        <v>631</v>
      </c>
      <c r="C235" s="3" t="s">
        <v>632</v>
      </c>
      <c r="D235" s="4" t="s">
        <v>7</v>
      </c>
      <c r="F235">
        <v>5115061689</v>
      </c>
      <c r="G235" s="1" t="s">
        <v>704</v>
      </c>
      <c r="H235" s="1" t="s">
        <v>1315</v>
      </c>
      <c r="I235" s="1" t="s">
        <v>1087</v>
      </c>
      <c r="J235">
        <v>3192</v>
      </c>
      <c r="K235" s="1" t="str">
        <f>VLOOKUP(uslugi411[[#This Row],[NIP]],nip_firm612[],2,FALSE)</f>
        <v>BETON-STAL</v>
      </c>
      <c r="L235" s="1" t="str">
        <f>_xlfn.CONCAT(uslugi411[[#This Row],[ozn]:[nr]])</f>
        <v>SRS18IT</v>
      </c>
    </row>
    <row r="236" spans="1:12" x14ac:dyDescent="0.25">
      <c r="A236" s="5" t="s">
        <v>633</v>
      </c>
      <c r="B236" s="6" t="s">
        <v>634</v>
      </c>
      <c r="C236" s="6" t="s">
        <v>635</v>
      </c>
      <c r="D236" s="7" t="s">
        <v>7</v>
      </c>
      <c r="F236">
        <v>1361555378</v>
      </c>
      <c r="G236" s="1" t="s">
        <v>1022</v>
      </c>
      <c r="H236" s="1" t="s">
        <v>1316</v>
      </c>
      <c r="I236" s="1" t="s">
        <v>1087</v>
      </c>
      <c r="J236">
        <v>2559</v>
      </c>
      <c r="K236" s="1" t="str">
        <f>VLOOKUP(uslugi411[[#This Row],[NIP]],nip_firm612[],2,FALSE)</f>
        <v>OSTOPOL</v>
      </c>
      <c r="L236" s="1" t="str">
        <f>_xlfn.CONCAT(uslugi411[[#This Row],[ozn]:[nr]])</f>
        <v>SZWS237</v>
      </c>
    </row>
    <row r="237" spans="1:12" x14ac:dyDescent="0.25">
      <c r="A237" s="2" t="s">
        <v>636</v>
      </c>
      <c r="B237" s="3" t="s">
        <v>637</v>
      </c>
      <c r="C237" s="3" t="s">
        <v>637</v>
      </c>
      <c r="D237" s="4" t="s">
        <v>22</v>
      </c>
      <c r="F237">
        <v>3866883575</v>
      </c>
      <c r="G237" s="1" t="s">
        <v>434</v>
      </c>
      <c r="H237" s="1" t="s">
        <v>1317</v>
      </c>
      <c r="I237" s="1" t="s">
        <v>1081</v>
      </c>
      <c r="J237">
        <v>2145</v>
      </c>
      <c r="K237" s="1" t="str">
        <f>VLOOKUP(uslugi411[[#This Row],[NIP]],nip_firm612[],2,FALSE)</f>
        <v>KPICO</v>
      </c>
      <c r="L237" s="1" t="str">
        <f>_xlfn.CONCAT(uslugi411[[#This Row],[ozn]:[nr]])</f>
        <v>LU16796</v>
      </c>
    </row>
    <row r="238" spans="1:12" x14ac:dyDescent="0.25">
      <c r="A238" s="5" t="s">
        <v>638</v>
      </c>
      <c r="B238" s="6" t="s">
        <v>639</v>
      </c>
      <c r="C238" s="6" t="s">
        <v>637</v>
      </c>
      <c r="D238" s="7" t="s">
        <v>7</v>
      </c>
      <c r="F238">
        <v>4761158900</v>
      </c>
      <c r="G238" s="1" t="s">
        <v>294</v>
      </c>
      <c r="H238" s="1" t="s">
        <v>1318</v>
      </c>
      <c r="I238" s="1" t="s">
        <v>1081</v>
      </c>
      <c r="J238">
        <v>2674</v>
      </c>
      <c r="K238" s="1" t="str">
        <f>VLOOKUP(uslugi411[[#This Row],[NIP]],nip_firm612[],2,FALSE)</f>
        <v>WROCBUD3</v>
      </c>
      <c r="L238" s="1" t="str">
        <f>_xlfn.CONCAT(uslugi411[[#This Row],[ozn]:[nr]])</f>
        <v>OKL73131</v>
      </c>
    </row>
    <row r="239" spans="1:12" x14ac:dyDescent="0.25">
      <c r="A239" s="2" t="s">
        <v>640</v>
      </c>
      <c r="B239" s="3" t="s">
        <v>641</v>
      </c>
      <c r="C239" s="3" t="s">
        <v>642</v>
      </c>
      <c r="D239" s="4" t="s">
        <v>7</v>
      </c>
      <c r="F239">
        <v>4779174699</v>
      </c>
      <c r="G239" s="1" t="s">
        <v>1003</v>
      </c>
      <c r="H239" s="1" t="s">
        <v>1319</v>
      </c>
      <c r="I239" s="1" t="s">
        <v>1081</v>
      </c>
      <c r="J239">
        <v>2192</v>
      </c>
      <c r="K239" s="1" t="str">
        <f>VLOOKUP(uslugi411[[#This Row],[NIP]],nip_firm612[],2,FALSE)</f>
        <v>FASO</v>
      </c>
      <c r="L239" s="1" t="str">
        <f>_xlfn.CONCAT(uslugi411[[#This Row],[ozn]:[nr]])</f>
        <v>DW16846</v>
      </c>
    </row>
    <row r="240" spans="1:12" x14ac:dyDescent="0.25">
      <c r="A240" s="5" t="s">
        <v>643</v>
      </c>
      <c r="B240" s="6" t="s">
        <v>644</v>
      </c>
      <c r="C240" s="6" t="s">
        <v>645</v>
      </c>
      <c r="D240" s="7" t="s">
        <v>7</v>
      </c>
      <c r="F240">
        <v>6727559092</v>
      </c>
      <c r="G240" s="1" t="s">
        <v>562</v>
      </c>
      <c r="H240" s="1" t="s">
        <v>1320</v>
      </c>
      <c r="I240" s="1" t="s">
        <v>1081</v>
      </c>
      <c r="J240">
        <v>2480</v>
      </c>
      <c r="K240" s="1" t="str">
        <f>VLOOKUP(uslugi411[[#This Row],[NIP]],nip_firm612[],2,FALSE)</f>
        <v>ANDROPOL SP. Z. O. O.</v>
      </c>
      <c r="L240" s="1" t="str">
        <f>_xlfn.CONCAT(uslugi411[[#This Row],[ozn]:[nr]])</f>
        <v>OPO345G</v>
      </c>
    </row>
    <row r="241" spans="1:12" x14ac:dyDescent="0.25">
      <c r="A241" s="2" t="s">
        <v>646</v>
      </c>
      <c r="B241" s="3" t="s">
        <v>647</v>
      </c>
      <c r="C241" s="3" t="s">
        <v>648</v>
      </c>
      <c r="D241" s="4" t="s">
        <v>7</v>
      </c>
      <c r="F241">
        <v>4761158900</v>
      </c>
      <c r="G241" s="1" t="s">
        <v>29</v>
      </c>
      <c r="H241" s="1" t="s">
        <v>1321</v>
      </c>
      <c r="I241" s="1" t="s">
        <v>1087</v>
      </c>
      <c r="J241">
        <v>2578</v>
      </c>
      <c r="K241" s="1" t="str">
        <f>VLOOKUP(uslugi411[[#This Row],[NIP]],nip_firm612[],2,FALSE)</f>
        <v>WROCBUD3</v>
      </c>
      <c r="L241" s="1" t="str">
        <f>_xlfn.CONCAT(uslugi411[[#This Row],[ozn]:[nr]])</f>
        <v>BIA78686</v>
      </c>
    </row>
    <row r="242" spans="1:12" x14ac:dyDescent="0.25">
      <c r="A242" s="5" t="s">
        <v>649</v>
      </c>
      <c r="B242" s="6" t="s">
        <v>650</v>
      </c>
      <c r="C242" s="6" t="s">
        <v>651</v>
      </c>
      <c r="D242" s="7" t="s">
        <v>7</v>
      </c>
      <c r="F242">
        <v>4761158900</v>
      </c>
      <c r="G242" s="1" t="s">
        <v>29</v>
      </c>
      <c r="H242" s="1" t="s">
        <v>1322</v>
      </c>
      <c r="I242" s="1" t="s">
        <v>1087</v>
      </c>
      <c r="J242">
        <v>1774</v>
      </c>
      <c r="K242" s="1" t="str">
        <f>VLOOKUP(uslugi411[[#This Row],[NIP]],nip_firm612[],2,FALSE)</f>
        <v>WROCBUD3</v>
      </c>
      <c r="L242" s="1" t="str">
        <f>_xlfn.CONCAT(uslugi411[[#This Row],[ozn]:[nr]])</f>
        <v>BIA77575</v>
      </c>
    </row>
    <row r="243" spans="1:12" x14ac:dyDescent="0.25">
      <c r="A243" s="2" t="s">
        <v>652</v>
      </c>
      <c r="B243" s="3" t="s">
        <v>653</v>
      </c>
      <c r="C243" s="3" t="s">
        <v>654</v>
      </c>
      <c r="D243" s="4" t="s">
        <v>7</v>
      </c>
      <c r="F243">
        <v>2394072755</v>
      </c>
      <c r="G243" s="1" t="s">
        <v>1022</v>
      </c>
      <c r="H243" s="1" t="s">
        <v>1323</v>
      </c>
      <c r="I243" s="1" t="s">
        <v>1087</v>
      </c>
      <c r="J243">
        <v>750</v>
      </c>
      <c r="K243" s="1" t="str">
        <f>VLOOKUP(uslugi411[[#This Row],[NIP]],nip_firm612[],2,FALSE)</f>
        <v>ELINK</v>
      </c>
      <c r="L243" s="1" t="str">
        <f>_xlfn.CONCAT(uslugi411[[#This Row],[ozn]:[nr]])</f>
        <v>SZEU125</v>
      </c>
    </row>
    <row r="244" spans="1:12" x14ac:dyDescent="0.25">
      <c r="A244" s="5" t="s">
        <v>655</v>
      </c>
      <c r="B244" s="6" t="s">
        <v>654</v>
      </c>
      <c r="C244" s="6" t="s">
        <v>654</v>
      </c>
      <c r="D244" s="7" t="s">
        <v>22</v>
      </c>
      <c r="F244">
        <v>1939065269</v>
      </c>
      <c r="G244" s="1" t="s">
        <v>636</v>
      </c>
      <c r="H244" s="1" t="s">
        <v>1324</v>
      </c>
      <c r="I244" s="1" t="s">
        <v>1081</v>
      </c>
      <c r="J244">
        <v>2562</v>
      </c>
      <c r="K244" s="1" t="str">
        <f>VLOOKUP(uslugi411[[#This Row],[NIP]],nip_firm612[],2,FALSE)</f>
        <v>KUSTMASZ</v>
      </c>
      <c r="L244" s="1" t="str">
        <f>_xlfn.CONCAT(uslugi411[[#This Row],[ozn]:[nr]])</f>
        <v>PO16888</v>
      </c>
    </row>
    <row r="245" spans="1:12" x14ac:dyDescent="0.25">
      <c r="A245" s="2" t="s">
        <v>656</v>
      </c>
      <c r="B245" s="3" t="s">
        <v>657</v>
      </c>
      <c r="C245" s="3" t="s">
        <v>658</v>
      </c>
      <c r="D245" s="4" t="s">
        <v>7</v>
      </c>
      <c r="F245">
        <v>3114182744</v>
      </c>
      <c r="G245" s="1" t="s">
        <v>1022</v>
      </c>
      <c r="H245" s="1" t="s">
        <v>1325</v>
      </c>
      <c r="I245" s="1" t="s">
        <v>1081</v>
      </c>
      <c r="J245">
        <v>1959</v>
      </c>
      <c r="K245" s="1" t="str">
        <f>VLOOKUP(uslugi411[[#This Row],[NIP]],nip_firm612[],2,FALSE)</f>
        <v>SZCZEBRZESZYN</v>
      </c>
      <c r="L245" s="1" t="str">
        <f>_xlfn.CONCAT(uslugi411[[#This Row],[ozn]:[nr]])</f>
        <v>SZS97VV</v>
      </c>
    </row>
    <row r="246" spans="1:12" x14ac:dyDescent="0.25">
      <c r="A246" s="5" t="s">
        <v>659</v>
      </c>
      <c r="B246" s="6" t="s">
        <v>660</v>
      </c>
      <c r="C246" s="6" t="s">
        <v>661</v>
      </c>
      <c r="D246" s="7" t="s">
        <v>7</v>
      </c>
      <c r="F246">
        <v>4326751508</v>
      </c>
      <c r="G246" s="1" t="s">
        <v>405</v>
      </c>
      <c r="H246" s="1" t="s">
        <v>1326</v>
      </c>
      <c r="I246" s="1" t="s">
        <v>1081</v>
      </c>
      <c r="J246">
        <v>2624</v>
      </c>
      <c r="K246" s="1" t="str">
        <f>VLOOKUP(uslugi411[[#This Row],[NIP]],nip_firm612[],2,FALSE)</f>
        <v>WROCBUD2</v>
      </c>
      <c r="L246" s="1" t="str">
        <f>_xlfn.CONCAT(uslugi411[[#This Row],[ozn]:[nr]])</f>
        <v>EL62021</v>
      </c>
    </row>
    <row r="247" spans="1:12" x14ac:dyDescent="0.25">
      <c r="A247" s="2" t="s">
        <v>662</v>
      </c>
      <c r="B247" s="3" t="s">
        <v>663</v>
      </c>
      <c r="C247" s="3" t="s">
        <v>664</v>
      </c>
      <c r="D247" s="4" t="s">
        <v>7</v>
      </c>
      <c r="F247">
        <v>4326751508</v>
      </c>
      <c r="G247" s="1" t="s">
        <v>255</v>
      </c>
      <c r="H247" s="1" t="s">
        <v>1327</v>
      </c>
      <c r="I247" s="1" t="s">
        <v>1087</v>
      </c>
      <c r="J247">
        <v>2760</v>
      </c>
      <c r="K247" s="1" t="str">
        <f>VLOOKUP(uslugi411[[#This Row],[NIP]],nip_firm612[],2,FALSE)</f>
        <v>WROCBUD2</v>
      </c>
      <c r="L247" s="1" t="str">
        <f>_xlfn.CONCAT(uslugi411[[#This Row],[ozn]:[nr]])</f>
        <v>DJE50911</v>
      </c>
    </row>
    <row r="248" spans="1:12" x14ac:dyDescent="0.25">
      <c r="A248" s="5" t="s">
        <v>665</v>
      </c>
      <c r="B248" s="6" t="s">
        <v>666</v>
      </c>
      <c r="C248" s="6" t="s">
        <v>667</v>
      </c>
      <c r="D248" s="7" t="s">
        <v>7</v>
      </c>
      <c r="F248">
        <v>3568004264</v>
      </c>
      <c r="G248" s="1" t="s">
        <v>428</v>
      </c>
      <c r="H248" s="1" t="s">
        <v>1328</v>
      </c>
      <c r="I248" s="1" t="s">
        <v>1081</v>
      </c>
      <c r="J248">
        <v>2404</v>
      </c>
      <c r="K248" s="1" t="str">
        <f>VLOOKUP(uslugi411[[#This Row],[NIP]],nip_firm612[],2,FALSE)</f>
        <v>MURATOR</v>
      </c>
      <c r="L248" s="1" t="str">
        <f>_xlfn.CONCAT(uslugi411[[#This Row],[ozn]:[nr]])</f>
        <v>LUBD622</v>
      </c>
    </row>
    <row r="249" spans="1:12" x14ac:dyDescent="0.25">
      <c r="A249" s="2" t="s">
        <v>668</v>
      </c>
      <c r="B249" s="3" t="s">
        <v>669</v>
      </c>
      <c r="C249" s="3" t="s">
        <v>670</v>
      </c>
      <c r="D249" s="4" t="s">
        <v>7</v>
      </c>
      <c r="F249">
        <v>1278408463</v>
      </c>
      <c r="G249" s="1" t="s">
        <v>314</v>
      </c>
      <c r="H249" s="1" t="s">
        <v>1329</v>
      </c>
      <c r="I249" s="1" t="s">
        <v>1081</v>
      </c>
      <c r="J249">
        <v>2328</v>
      </c>
      <c r="K249" s="1" t="str">
        <f>VLOOKUP(uslugi411[[#This Row],[NIP]],nip_firm612[],2,FALSE)</f>
        <v>REFAMUR</v>
      </c>
      <c r="L249" s="1" t="str">
        <f>_xlfn.CONCAT(uslugi411[[#This Row],[ozn]:[nr]])</f>
        <v>PN16780</v>
      </c>
    </row>
    <row r="250" spans="1:12" x14ac:dyDescent="0.25">
      <c r="A250" s="5" t="s">
        <v>671</v>
      </c>
      <c r="B250" s="6" t="s">
        <v>672</v>
      </c>
      <c r="C250" s="6" t="s">
        <v>673</v>
      </c>
      <c r="D250" s="7" t="s">
        <v>7</v>
      </c>
      <c r="F250">
        <v>5185759244</v>
      </c>
      <c r="G250" s="1" t="s">
        <v>1022</v>
      </c>
      <c r="H250" s="1" t="s">
        <v>1330</v>
      </c>
      <c r="I250" s="1" t="s">
        <v>1087</v>
      </c>
      <c r="J250">
        <v>2610</v>
      </c>
      <c r="K250" s="1" t="str">
        <f>VLOOKUP(uslugi411[[#This Row],[NIP]],nip_firm612[],2,FALSE)</f>
        <v>BYTOM1</v>
      </c>
      <c r="L250" s="1" t="str">
        <f>_xlfn.CONCAT(uslugi411[[#This Row],[ozn]:[nr]])</f>
        <v>SZY26SL</v>
      </c>
    </row>
    <row r="251" spans="1:12" x14ac:dyDescent="0.25">
      <c r="A251" s="2" t="s">
        <v>674</v>
      </c>
      <c r="B251" s="3" t="s">
        <v>675</v>
      </c>
      <c r="C251" s="3" t="s">
        <v>676</v>
      </c>
      <c r="D251" s="4" t="s">
        <v>7</v>
      </c>
      <c r="F251">
        <v>4761158900</v>
      </c>
      <c r="G251" s="1" t="s">
        <v>29</v>
      </c>
      <c r="H251" s="1" t="s">
        <v>1331</v>
      </c>
      <c r="I251" s="1" t="s">
        <v>1081</v>
      </c>
      <c r="J251">
        <v>2010</v>
      </c>
      <c r="K251" s="1" t="str">
        <f>VLOOKUP(uslugi411[[#This Row],[NIP]],nip_firm612[],2,FALSE)</f>
        <v>WROCBUD3</v>
      </c>
      <c r="L251" s="1" t="str">
        <f>_xlfn.CONCAT(uslugi411[[#This Row],[ozn]:[nr]])</f>
        <v>BIA75353</v>
      </c>
    </row>
    <row r="252" spans="1:12" x14ac:dyDescent="0.25">
      <c r="A252" s="5" t="s">
        <v>677</v>
      </c>
      <c r="B252" s="6" t="s">
        <v>678</v>
      </c>
      <c r="C252" s="6" t="s">
        <v>679</v>
      </c>
      <c r="D252" s="7" t="s">
        <v>7</v>
      </c>
      <c r="F252">
        <v>4326751508</v>
      </c>
      <c r="G252" s="1" t="s">
        <v>386</v>
      </c>
      <c r="H252" s="1" t="s">
        <v>1332</v>
      </c>
      <c r="I252" s="1" t="s">
        <v>1081</v>
      </c>
      <c r="J252">
        <v>2196</v>
      </c>
      <c r="K252" s="1" t="str">
        <f>VLOOKUP(uslugi411[[#This Row],[NIP]],nip_firm612[],2,FALSE)</f>
        <v>WROCBUD2</v>
      </c>
      <c r="L252" s="1" t="str">
        <f>_xlfn.CONCAT(uslugi411[[#This Row],[ozn]:[nr]])</f>
        <v>PL68687</v>
      </c>
    </row>
    <row r="253" spans="1:12" x14ac:dyDescent="0.25">
      <c r="A253" s="2" t="s">
        <v>680</v>
      </c>
      <c r="B253" s="3" t="s">
        <v>681</v>
      </c>
      <c r="C253" s="3" t="s">
        <v>681</v>
      </c>
      <c r="D253" s="4" t="s">
        <v>22</v>
      </c>
      <c r="F253">
        <v>6758177505</v>
      </c>
      <c r="G253" s="1" t="s">
        <v>562</v>
      </c>
      <c r="H253" s="1" t="s">
        <v>1333</v>
      </c>
      <c r="I253" s="1" t="s">
        <v>1087</v>
      </c>
      <c r="J253">
        <v>2095</v>
      </c>
      <c r="K253" s="1" t="str">
        <f>VLOOKUP(uslugi411[[#This Row],[NIP]],nip_firm612[],2,FALSE)</f>
        <v>WERTIX</v>
      </c>
      <c r="L253" s="1" t="str">
        <f>_xlfn.CONCAT(uslugi411[[#This Row],[ozn]:[nr]])</f>
        <v>OPO523S</v>
      </c>
    </row>
    <row r="254" spans="1:12" x14ac:dyDescent="0.25">
      <c r="A254" s="5" t="s">
        <v>682</v>
      </c>
      <c r="B254" s="6" t="s">
        <v>683</v>
      </c>
      <c r="C254" s="6" t="s">
        <v>681</v>
      </c>
      <c r="D254" s="7" t="s">
        <v>7</v>
      </c>
      <c r="F254">
        <v>1617995032</v>
      </c>
      <c r="G254" s="1" t="s">
        <v>892</v>
      </c>
      <c r="H254" s="1" t="s">
        <v>1334</v>
      </c>
      <c r="I254" s="1" t="s">
        <v>1081</v>
      </c>
      <c r="J254">
        <v>1899</v>
      </c>
      <c r="K254" s="1" t="str">
        <f>VLOOKUP(uslugi411[[#This Row],[NIP]],nip_firm612[],2,FALSE)</f>
        <v>RENOWATOR</v>
      </c>
      <c r="L254" s="1" t="str">
        <f>_xlfn.CONCAT(uslugi411[[#This Row],[ozn]:[nr]])</f>
        <v>PTUJ688</v>
      </c>
    </row>
    <row r="255" spans="1:12" x14ac:dyDescent="0.25">
      <c r="A255" s="2" t="s">
        <v>684</v>
      </c>
      <c r="B255" s="3" t="s">
        <v>685</v>
      </c>
      <c r="C255" s="3" t="s">
        <v>686</v>
      </c>
      <c r="D255" s="4" t="s">
        <v>7</v>
      </c>
      <c r="F255">
        <v>1433397952</v>
      </c>
      <c r="G255" s="1" t="s">
        <v>314</v>
      </c>
      <c r="H255" s="1" t="s">
        <v>1335</v>
      </c>
      <c r="I255" s="1" t="s">
        <v>1087</v>
      </c>
      <c r="J255">
        <v>2180</v>
      </c>
      <c r="K255" s="1" t="str">
        <f>VLOOKUP(uslugi411[[#This Row],[NIP]],nip_firm612[],2,FALSE)</f>
        <v>BARTEX</v>
      </c>
      <c r="L255" s="1" t="str">
        <f>_xlfn.CONCAT(uslugi411[[#This Row],[ozn]:[nr]])</f>
        <v>PN3651R</v>
      </c>
    </row>
    <row r="256" spans="1:12" x14ac:dyDescent="0.25">
      <c r="A256" s="5" t="s">
        <v>687</v>
      </c>
      <c r="B256" s="6" t="s">
        <v>688</v>
      </c>
      <c r="C256" s="6" t="s">
        <v>689</v>
      </c>
      <c r="D256" s="7" t="s">
        <v>7</v>
      </c>
      <c r="F256">
        <v>5115061689</v>
      </c>
      <c r="G256" s="1" t="s">
        <v>704</v>
      </c>
      <c r="H256" s="1" t="s">
        <v>1336</v>
      </c>
      <c r="I256" s="1" t="s">
        <v>1087</v>
      </c>
      <c r="J256">
        <v>1864</v>
      </c>
      <c r="K256" s="1" t="str">
        <f>VLOOKUP(uslugi411[[#This Row],[NIP]],nip_firm612[],2,FALSE)</f>
        <v>BETON-STAL</v>
      </c>
      <c r="L256" s="1" t="str">
        <f>_xlfn.CONCAT(uslugi411[[#This Row],[ozn]:[nr]])</f>
        <v>SRSG664</v>
      </c>
    </row>
    <row r="257" spans="1:12" x14ac:dyDescent="0.25">
      <c r="A257" s="2" t="s">
        <v>690</v>
      </c>
      <c r="B257" s="3" t="s">
        <v>691</v>
      </c>
      <c r="C257" s="3" t="s">
        <v>692</v>
      </c>
      <c r="D257" s="4" t="s">
        <v>7</v>
      </c>
      <c r="F257">
        <v>4761158900</v>
      </c>
      <c r="G257" s="1" t="s">
        <v>29</v>
      </c>
      <c r="H257" s="1" t="s">
        <v>1337</v>
      </c>
      <c r="I257" s="1" t="s">
        <v>1087</v>
      </c>
      <c r="J257">
        <v>2172</v>
      </c>
      <c r="K257" s="1" t="str">
        <f>VLOOKUP(uslugi411[[#This Row],[NIP]],nip_firm612[],2,FALSE)</f>
        <v>WROCBUD3</v>
      </c>
      <c r="L257" s="1" t="str">
        <f>_xlfn.CONCAT(uslugi411[[#This Row],[ozn]:[nr]])</f>
        <v>BIA84241</v>
      </c>
    </row>
    <row r="258" spans="1:12" x14ac:dyDescent="0.25">
      <c r="A258" s="5" t="s">
        <v>693</v>
      </c>
      <c r="B258" s="6" t="s">
        <v>694</v>
      </c>
      <c r="C258" s="6" t="s">
        <v>695</v>
      </c>
      <c r="D258" s="7" t="s">
        <v>7</v>
      </c>
      <c r="F258">
        <v>4761158900</v>
      </c>
      <c r="G258" s="1" t="s">
        <v>29</v>
      </c>
      <c r="H258" s="1" t="s">
        <v>1338</v>
      </c>
      <c r="I258" s="1" t="s">
        <v>1081</v>
      </c>
      <c r="J258">
        <v>1950</v>
      </c>
      <c r="K258" s="1" t="str">
        <f>VLOOKUP(uslugi411[[#This Row],[NIP]],nip_firm612[],2,FALSE)</f>
        <v>WROCBUD3</v>
      </c>
      <c r="L258" s="1" t="str">
        <f>_xlfn.CONCAT(uslugi411[[#This Row],[ozn]:[nr]])</f>
        <v>BIA85352</v>
      </c>
    </row>
    <row r="259" spans="1:12" x14ac:dyDescent="0.25">
      <c r="A259" s="2" t="s">
        <v>696</v>
      </c>
      <c r="B259" s="3" t="s">
        <v>697</v>
      </c>
      <c r="C259" s="3" t="s">
        <v>698</v>
      </c>
      <c r="D259" s="4" t="s">
        <v>7</v>
      </c>
      <c r="F259">
        <v>2119268767</v>
      </c>
      <c r="G259" s="1" t="s">
        <v>141</v>
      </c>
      <c r="H259" s="1" t="s">
        <v>1339</v>
      </c>
      <c r="I259" s="1" t="s">
        <v>1087</v>
      </c>
      <c r="J259">
        <v>2115</v>
      </c>
      <c r="K259" s="1" t="str">
        <f>VLOOKUP(uslugi411[[#This Row],[NIP]],nip_firm612[],2,FALSE)</f>
        <v>PETROLEUM</v>
      </c>
      <c r="L259" s="1" t="str">
        <f>_xlfn.CONCAT(uslugi411[[#This Row],[ozn]:[nr]])</f>
        <v>NEBV602</v>
      </c>
    </row>
    <row r="260" spans="1:12" x14ac:dyDescent="0.25">
      <c r="A260" s="5" t="s">
        <v>699</v>
      </c>
      <c r="B260" s="6" t="s">
        <v>700</v>
      </c>
      <c r="C260" s="6" t="s">
        <v>701</v>
      </c>
      <c r="D260" s="7" t="s">
        <v>7</v>
      </c>
      <c r="F260">
        <v>3866883575</v>
      </c>
      <c r="G260" s="1" t="s">
        <v>434</v>
      </c>
      <c r="H260" s="1" t="s">
        <v>1340</v>
      </c>
      <c r="I260" s="1" t="s">
        <v>1087</v>
      </c>
      <c r="J260">
        <v>2457</v>
      </c>
      <c r="K260" s="1" t="str">
        <f>VLOOKUP(uslugi411[[#This Row],[NIP]],nip_firm612[],2,FALSE)</f>
        <v>KPICO</v>
      </c>
      <c r="L260" s="1" t="str">
        <f>_xlfn.CONCAT(uslugi411[[#This Row],[ozn]:[nr]])</f>
        <v>LU16790</v>
      </c>
    </row>
    <row r="261" spans="1:12" x14ac:dyDescent="0.25">
      <c r="A261" s="2" t="s">
        <v>702</v>
      </c>
      <c r="B261" s="3" t="s">
        <v>703</v>
      </c>
      <c r="C261" s="3" t="s">
        <v>703</v>
      </c>
      <c r="D261" s="4" t="s">
        <v>22</v>
      </c>
      <c r="F261">
        <v>2394072755</v>
      </c>
      <c r="G261" s="1" t="s">
        <v>1022</v>
      </c>
      <c r="H261" s="1" t="s">
        <v>1341</v>
      </c>
      <c r="I261" s="1" t="s">
        <v>1087</v>
      </c>
      <c r="J261">
        <v>2792</v>
      </c>
      <c r="K261" s="1" t="str">
        <f>VLOOKUP(uslugi411[[#This Row],[NIP]],nip_firm612[],2,FALSE)</f>
        <v>ELINK</v>
      </c>
      <c r="L261" s="1" t="str">
        <f>_xlfn.CONCAT(uslugi411[[#This Row],[ozn]:[nr]])</f>
        <v>SZET124</v>
      </c>
    </row>
    <row r="262" spans="1:12" x14ac:dyDescent="0.25">
      <c r="A262" s="5" t="s">
        <v>704</v>
      </c>
      <c r="B262" s="6" t="s">
        <v>703</v>
      </c>
      <c r="C262" s="6" t="s">
        <v>703</v>
      </c>
      <c r="D262" s="7" t="s">
        <v>22</v>
      </c>
      <c r="F262">
        <v>6758177505</v>
      </c>
      <c r="G262" s="1" t="s">
        <v>562</v>
      </c>
      <c r="H262" s="1" t="s">
        <v>1342</v>
      </c>
      <c r="I262" s="1" t="s">
        <v>1087</v>
      </c>
      <c r="J262">
        <v>2915</v>
      </c>
      <c r="K262" s="1" t="str">
        <f>VLOOKUP(uslugi411[[#This Row],[NIP]],nip_firm612[],2,FALSE)</f>
        <v>WERTIX</v>
      </c>
      <c r="L262" s="1" t="str">
        <f>_xlfn.CONCAT(uslugi411[[#This Row],[ozn]:[nr]])</f>
        <v>OPO567K</v>
      </c>
    </row>
    <row r="263" spans="1:12" x14ac:dyDescent="0.25">
      <c r="A263" s="2" t="s">
        <v>705</v>
      </c>
      <c r="B263" s="3" t="s">
        <v>706</v>
      </c>
      <c r="C263" s="3" t="s">
        <v>707</v>
      </c>
      <c r="D263" s="4" t="s">
        <v>7</v>
      </c>
      <c r="F263">
        <v>4326751508</v>
      </c>
      <c r="G263" s="1" t="s">
        <v>386</v>
      </c>
      <c r="H263" s="1" t="s">
        <v>1343</v>
      </c>
      <c r="I263" s="1" t="s">
        <v>1081</v>
      </c>
      <c r="J263">
        <v>1515</v>
      </c>
      <c r="K263" s="1" t="str">
        <f>VLOOKUP(uslugi411[[#This Row],[NIP]],nip_firm612[],2,FALSE)</f>
        <v>WROCBUD2</v>
      </c>
      <c r="L263" s="1" t="str">
        <f>_xlfn.CONCAT(uslugi411[[#This Row],[ozn]:[nr]])</f>
        <v>PL63132</v>
      </c>
    </row>
    <row r="264" spans="1:12" x14ac:dyDescent="0.25">
      <c r="A264" s="5" t="s">
        <v>708</v>
      </c>
      <c r="B264" s="6" t="s">
        <v>707</v>
      </c>
      <c r="C264" s="6" t="s">
        <v>707</v>
      </c>
      <c r="D264" s="7" t="s">
        <v>22</v>
      </c>
      <c r="F264">
        <v>2394072755</v>
      </c>
      <c r="G264" s="1" t="s">
        <v>1022</v>
      </c>
      <c r="H264" s="1" t="s">
        <v>1344</v>
      </c>
      <c r="I264" s="1" t="s">
        <v>1087</v>
      </c>
      <c r="J264">
        <v>2330</v>
      </c>
      <c r="K264" s="1" t="str">
        <f>VLOOKUP(uslugi411[[#This Row],[NIP]],nip_firm612[],2,FALSE)</f>
        <v>ELINK</v>
      </c>
      <c r="L264" s="1" t="str">
        <f>_xlfn.CONCAT(uslugi411[[#This Row],[ozn]:[nr]])</f>
        <v>SZEU126</v>
      </c>
    </row>
    <row r="265" spans="1:12" x14ac:dyDescent="0.25">
      <c r="A265" s="2" t="s">
        <v>709</v>
      </c>
      <c r="B265" s="3" t="s">
        <v>710</v>
      </c>
      <c r="C265" s="3" t="s">
        <v>711</v>
      </c>
      <c r="D265" s="4" t="s">
        <v>7</v>
      </c>
      <c r="F265">
        <v>4326751508</v>
      </c>
      <c r="G265" s="1" t="s">
        <v>386</v>
      </c>
      <c r="H265" s="1" t="s">
        <v>1345</v>
      </c>
      <c r="I265" s="1" t="s">
        <v>1081</v>
      </c>
      <c r="J265">
        <v>2245</v>
      </c>
      <c r="K265" s="1" t="str">
        <f>VLOOKUP(uslugi411[[#This Row],[NIP]],nip_firm612[],2,FALSE)</f>
        <v>WROCBUD2</v>
      </c>
      <c r="L265" s="1" t="str">
        <f>_xlfn.CONCAT(uslugi411[[#This Row],[ozn]:[nr]])</f>
        <v>PL66465</v>
      </c>
    </row>
    <row r="266" spans="1:12" x14ac:dyDescent="0.25">
      <c r="A266" s="5" t="s">
        <v>712</v>
      </c>
      <c r="B266" s="6" t="s">
        <v>713</v>
      </c>
      <c r="C266" s="6" t="s">
        <v>714</v>
      </c>
      <c r="D266" s="7" t="s">
        <v>7</v>
      </c>
      <c r="F266">
        <v>5341884086</v>
      </c>
      <c r="G266" s="1" t="s">
        <v>1022</v>
      </c>
      <c r="H266" s="1" t="s">
        <v>1346</v>
      </c>
      <c r="I266" s="1" t="s">
        <v>1081</v>
      </c>
      <c r="J266">
        <v>2880</v>
      </c>
      <c r="K266" s="1" t="str">
        <f>VLOOKUP(uslugi411[[#This Row],[NIP]],nip_firm612[],2,FALSE)</f>
        <v>SENIN</v>
      </c>
      <c r="L266" s="1" t="str">
        <f>_xlfn.CONCAT(uslugi411[[#This Row],[ozn]:[nr]])</f>
        <v>SZS45UV</v>
      </c>
    </row>
    <row r="267" spans="1:12" x14ac:dyDescent="0.25">
      <c r="A267" s="2" t="s">
        <v>715</v>
      </c>
      <c r="B267" s="3" t="s">
        <v>716</v>
      </c>
      <c r="C267" s="3" t="s">
        <v>716</v>
      </c>
      <c r="D267" s="4" t="s">
        <v>22</v>
      </c>
      <c r="F267">
        <v>1581329071</v>
      </c>
      <c r="G267" s="1" t="s">
        <v>1022</v>
      </c>
      <c r="H267" s="1" t="s">
        <v>1347</v>
      </c>
      <c r="I267" s="1" t="s">
        <v>1081</v>
      </c>
      <c r="J267">
        <v>2270</v>
      </c>
      <c r="K267" s="1" t="str">
        <f>VLOOKUP(uslugi411[[#This Row],[NIP]],nip_firm612[],2,FALSE)</f>
        <v>WRZESNIA1</v>
      </c>
      <c r="L267" s="1" t="str">
        <f>_xlfn.CONCAT(uslugi411[[#This Row],[ozn]:[nr]])</f>
        <v>SZE94CB</v>
      </c>
    </row>
    <row r="268" spans="1:12" x14ac:dyDescent="0.25">
      <c r="A268" s="5" t="s">
        <v>717</v>
      </c>
      <c r="B268" s="6" t="s">
        <v>718</v>
      </c>
      <c r="C268" s="6" t="s">
        <v>716</v>
      </c>
      <c r="D268" s="7" t="s">
        <v>7</v>
      </c>
      <c r="F268">
        <v>5341884086</v>
      </c>
      <c r="G268" s="1" t="s">
        <v>1022</v>
      </c>
      <c r="H268" s="1" t="s">
        <v>1348</v>
      </c>
      <c r="I268" s="1" t="s">
        <v>1081</v>
      </c>
      <c r="J268">
        <v>2748</v>
      </c>
      <c r="K268" s="1" t="str">
        <f>VLOOKUP(uslugi411[[#This Row],[NIP]],nip_firm612[],2,FALSE)</f>
        <v>SENIN</v>
      </c>
      <c r="L268" s="1" t="str">
        <f>_xlfn.CONCAT(uslugi411[[#This Row],[ozn]:[nr]])</f>
        <v>SZSD137</v>
      </c>
    </row>
    <row r="269" spans="1:12" x14ac:dyDescent="0.25">
      <c r="A269" s="2" t="s">
        <v>719</v>
      </c>
      <c r="B269" s="3" t="s">
        <v>720</v>
      </c>
      <c r="C269" s="3" t="s">
        <v>721</v>
      </c>
      <c r="D269" s="4" t="s">
        <v>7</v>
      </c>
      <c r="F269">
        <v>4241680809</v>
      </c>
      <c r="G269" s="1" t="s">
        <v>1022</v>
      </c>
      <c r="H269" s="1" t="s">
        <v>1349</v>
      </c>
      <c r="I269" s="1" t="s">
        <v>1087</v>
      </c>
      <c r="J269">
        <v>1995</v>
      </c>
      <c r="K269" s="1" t="str">
        <f>VLOOKUP(uslugi411[[#This Row],[NIP]],nip_firm612[],2,FALSE)</f>
        <v>WROCBUD4</v>
      </c>
      <c r="L269" s="1" t="str">
        <f>_xlfn.CONCAT(uslugi411[[#This Row],[ozn]:[nr]])</f>
        <v>SZR80LN</v>
      </c>
    </row>
    <row r="270" spans="1:12" x14ac:dyDescent="0.25">
      <c r="A270" s="5" t="s">
        <v>722</v>
      </c>
      <c r="B270" s="6" t="s">
        <v>723</v>
      </c>
      <c r="C270" s="6" t="s">
        <v>724</v>
      </c>
      <c r="D270" s="7" t="s">
        <v>7</v>
      </c>
      <c r="F270">
        <v>5229945534</v>
      </c>
      <c r="G270" s="1" t="s">
        <v>1022</v>
      </c>
      <c r="H270" s="1" t="s">
        <v>1350</v>
      </c>
      <c r="I270" s="1" t="s">
        <v>1081</v>
      </c>
      <c r="J270">
        <v>3276</v>
      </c>
      <c r="K270" s="1" t="str">
        <f>VLOOKUP(uslugi411[[#This Row],[NIP]],nip_firm612[],2,FALSE)</f>
        <v>TARNOR</v>
      </c>
      <c r="L270" s="1" t="str">
        <f>_xlfn.CONCAT(uslugi411[[#This Row],[ozn]:[nr]])</f>
        <v>SZG36RH</v>
      </c>
    </row>
    <row r="271" spans="1:12" x14ac:dyDescent="0.25">
      <c r="A271" s="2" t="s">
        <v>725</v>
      </c>
      <c r="B271" s="3" t="s">
        <v>726</v>
      </c>
      <c r="C271" s="3" t="s">
        <v>727</v>
      </c>
      <c r="D271" s="4" t="s">
        <v>7</v>
      </c>
      <c r="F271">
        <v>2281651150</v>
      </c>
      <c r="G271" s="1" t="s">
        <v>552</v>
      </c>
      <c r="H271" s="1" t="s">
        <v>1351</v>
      </c>
      <c r="I271" s="1" t="s">
        <v>1081</v>
      </c>
      <c r="J271">
        <v>1622</v>
      </c>
      <c r="K271" s="1" t="str">
        <f>VLOOKUP(uslugi411[[#This Row],[NIP]],nip_firm612[],2,FALSE)</f>
        <v>MAZUTEX</v>
      </c>
      <c r="L271" s="1" t="str">
        <f>_xlfn.CONCAT(uslugi411[[#This Row],[ozn]:[nr]])</f>
        <v>NOL99KC</v>
      </c>
    </row>
    <row r="272" spans="1:12" x14ac:dyDescent="0.25">
      <c r="A272" s="5" t="s">
        <v>728</v>
      </c>
      <c r="B272" s="6" t="s">
        <v>729</v>
      </c>
      <c r="C272" s="6" t="s">
        <v>730</v>
      </c>
      <c r="D272" s="7" t="s">
        <v>7</v>
      </c>
      <c r="F272">
        <v>6727559092</v>
      </c>
      <c r="G272" s="1" t="s">
        <v>562</v>
      </c>
      <c r="H272" s="1" t="s">
        <v>1352</v>
      </c>
      <c r="I272" s="1" t="s">
        <v>1087</v>
      </c>
      <c r="J272">
        <v>2208</v>
      </c>
      <c r="K272" s="1" t="str">
        <f>VLOOKUP(uslugi411[[#This Row],[NIP]],nip_firm612[],2,FALSE)</f>
        <v>ANDROPOL SP. Z. O. O.</v>
      </c>
      <c r="L272" s="1" t="str">
        <f>_xlfn.CONCAT(uslugi411[[#This Row],[ozn]:[nr]])</f>
        <v>OPO378G</v>
      </c>
    </row>
    <row r="273" spans="1:12" x14ac:dyDescent="0.25">
      <c r="A273" s="2" t="s">
        <v>731</v>
      </c>
      <c r="B273" s="3" t="s">
        <v>732</v>
      </c>
      <c r="C273" s="3" t="s">
        <v>732</v>
      </c>
      <c r="D273" s="4" t="s">
        <v>22</v>
      </c>
      <c r="F273">
        <v>3678947206</v>
      </c>
      <c r="G273" s="1" t="s">
        <v>527</v>
      </c>
      <c r="H273" s="1" t="s">
        <v>1353</v>
      </c>
      <c r="I273" s="1" t="s">
        <v>1081</v>
      </c>
      <c r="J273">
        <v>2065</v>
      </c>
      <c r="K273" s="1" t="str">
        <f>VLOOKUP(uslugi411[[#This Row],[NIP]],nip_firm612[],2,FALSE)</f>
        <v>LUBLIN2</v>
      </c>
      <c r="L273" s="1" t="str">
        <f>_xlfn.CONCAT(uslugi411[[#This Row],[ozn]:[nr]])</f>
        <v>ONY1278</v>
      </c>
    </row>
    <row r="274" spans="1:12" x14ac:dyDescent="0.25">
      <c r="A274" s="5" t="s">
        <v>733</v>
      </c>
      <c r="B274" s="6" t="s">
        <v>734</v>
      </c>
      <c r="C274" s="6" t="s">
        <v>732</v>
      </c>
      <c r="D274" s="7" t="s">
        <v>7</v>
      </c>
      <c r="F274">
        <v>2119268767</v>
      </c>
      <c r="G274" s="1" t="s">
        <v>141</v>
      </c>
      <c r="H274" s="1" t="s">
        <v>1354</v>
      </c>
      <c r="I274" s="1" t="s">
        <v>1087</v>
      </c>
      <c r="J274">
        <v>1772</v>
      </c>
      <c r="K274" s="1" t="str">
        <f>VLOOKUP(uslugi411[[#This Row],[NIP]],nip_firm612[],2,FALSE)</f>
        <v>PETROLEUM</v>
      </c>
      <c r="L274" s="1" t="str">
        <f>_xlfn.CONCAT(uslugi411[[#This Row],[ozn]:[nr]])</f>
        <v>NEBT600</v>
      </c>
    </row>
    <row r="275" spans="1:12" x14ac:dyDescent="0.25">
      <c r="A275" s="2" t="s">
        <v>735</v>
      </c>
      <c r="B275" s="3" t="s">
        <v>736</v>
      </c>
      <c r="C275" s="3" t="s">
        <v>736</v>
      </c>
      <c r="D275" s="4" t="s">
        <v>22</v>
      </c>
      <c r="F275">
        <v>3568004264</v>
      </c>
      <c r="G275" s="1" t="s">
        <v>428</v>
      </c>
      <c r="H275" s="1" t="s">
        <v>1355</v>
      </c>
      <c r="I275" s="1" t="s">
        <v>1087</v>
      </c>
      <c r="J275">
        <v>2175</v>
      </c>
      <c r="K275" s="1" t="str">
        <f>VLOOKUP(uslugi411[[#This Row],[NIP]],nip_firm612[],2,FALSE)</f>
        <v>MURATOR</v>
      </c>
      <c r="L275" s="1" t="str">
        <f>_xlfn.CONCAT(uslugi411[[#This Row],[ozn]:[nr]])</f>
        <v>LUB63AR</v>
      </c>
    </row>
    <row r="276" spans="1:12" x14ac:dyDescent="0.25">
      <c r="A276" s="5" t="s">
        <v>737</v>
      </c>
      <c r="B276" s="6" t="s">
        <v>738</v>
      </c>
      <c r="C276" s="6" t="s">
        <v>739</v>
      </c>
      <c r="D276" s="7" t="s">
        <v>7</v>
      </c>
      <c r="F276">
        <v>4326751508</v>
      </c>
      <c r="G276" s="1" t="s">
        <v>255</v>
      </c>
      <c r="H276" s="1" t="s">
        <v>1356</v>
      </c>
      <c r="I276" s="1" t="s">
        <v>1087</v>
      </c>
      <c r="J276">
        <v>2958</v>
      </c>
      <c r="K276" s="1" t="str">
        <f>VLOOKUP(uslugi411[[#This Row],[NIP]],nip_firm612[],2,FALSE)</f>
        <v>WROCBUD2</v>
      </c>
      <c r="L276" s="1" t="str">
        <f>_xlfn.CONCAT(uslugi411[[#This Row],[ozn]:[nr]])</f>
        <v>DJE53133</v>
      </c>
    </row>
    <row r="277" spans="1:12" x14ac:dyDescent="0.25">
      <c r="A277" s="2" t="s">
        <v>740</v>
      </c>
      <c r="B277" s="3" t="s">
        <v>741</v>
      </c>
      <c r="C277" s="3" t="s">
        <v>742</v>
      </c>
      <c r="D277" s="4" t="s">
        <v>7</v>
      </c>
      <c r="F277">
        <v>4796841112</v>
      </c>
      <c r="G277" s="1" t="s">
        <v>533</v>
      </c>
      <c r="H277" s="1" t="s">
        <v>1357</v>
      </c>
      <c r="I277" s="1" t="s">
        <v>1081</v>
      </c>
      <c r="J277">
        <v>2792</v>
      </c>
      <c r="K277" s="1" t="str">
        <f>VLOOKUP(uslugi411[[#This Row],[NIP]],nip_firm612[],2,FALSE)</f>
        <v>WARM S. A.</v>
      </c>
      <c r="L277" s="1" t="str">
        <f>_xlfn.CONCAT(uslugi411[[#This Row],[ozn]:[nr]])</f>
        <v>DOAI680</v>
      </c>
    </row>
    <row r="278" spans="1:12" x14ac:dyDescent="0.25">
      <c r="A278" s="5" t="s">
        <v>743</v>
      </c>
      <c r="B278" s="6" t="s">
        <v>744</v>
      </c>
      <c r="C278" s="6" t="s">
        <v>745</v>
      </c>
      <c r="D278" s="7" t="s">
        <v>7</v>
      </c>
      <c r="F278">
        <v>2138598159</v>
      </c>
      <c r="G278" s="1" t="s">
        <v>143</v>
      </c>
      <c r="H278" s="1" t="s">
        <v>1358</v>
      </c>
      <c r="I278" s="1" t="s">
        <v>1081</v>
      </c>
      <c r="J278">
        <v>2049</v>
      </c>
      <c r="K278" s="1" t="str">
        <f>VLOOKUP(uslugi411[[#This Row],[NIP]],nip_firm612[],2,FALSE)</f>
        <v>METALL</v>
      </c>
      <c r="L278" s="1" t="str">
        <f>_xlfn.CONCAT(uslugi411[[#This Row],[ozn]:[nr]])</f>
        <v>NELM590</v>
      </c>
    </row>
    <row r="279" spans="1:12" x14ac:dyDescent="0.25">
      <c r="A279" s="2" t="s">
        <v>746</v>
      </c>
      <c r="B279" s="3" t="s">
        <v>747</v>
      </c>
      <c r="C279" s="3" t="s">
        <v>748</v>
      </c>
      <c r="D279" s="4" t="s">
        <v>7</v>
      </c>
      <c r="F279">
        <v>1617995032</v>
      </c>
      <c r="G279" s="1" t="s">
        <v>892</v>
      </c>
      <c r="H279" s="1" t="s">
        <v>1359</v>
      </c>
      <c r="I279" s="1" t="s">
        <v>1087</v>
      </c>
      <c r="J279">
        <v>1946</v>
      </c>
      <c r="K279" s="1" t="str">
        <f>VLOOKUP(uslugi411[[#This Row],[NIP]],nip_firm612[],2,FALSE)</f>
        <v>RENOWATOR</v>
      </c>
      <c r="L279" s="1" t="str">
        <f>_xlfn.CONCAT(uslugi411[[#This Row],[ozn]:[nr]])</f>
        <v>PTU5F12</v>
      </c>
    </row>
    <row r="280" spans="1:12" x14ac:dyDescent="0.25">
      <c r="A280" s="5" t="s">
        <v>749</v>
      </c>
      <c r="B280" s="6" t="s">
        <v>750</v>
      </c>
      <c r="C280" s="6" t="s">
        <v>750</v>
      </c>
      <c r="D280" s="7" t="s">
        <v>22</v>
      </c>
      <c r="F280">
        <v>1278408463</v>
      </c>
      <c r="G280" s="1" t="s">
        <v>312</v>
      </c>
      <c r="H280" s="1" t="s">
        <v>1360</v>
      </c>
      <c r="I280" s="1" t="s">
        <v>1081</v>
      </c>
      <c r="J280">
        <v>2722</v>
      </c>
      <c r="K280" s="1" t="str">
        <f>VLOOKUP(uslugi411[[#This Row],[NIP]],nip_firm612[],2,FALSE)</f>
        <v>REFAMUR</v>
      </c>
      <c r="L280" s="1" t="str">
        <f>_xlfn.CONCAT(uslugi411[[#This Row],[ozn]:[nr]])</f>
        <v>PKOF572</v>
      </c>
    </row>
    <row r="281" spans="1:12" x14ac:dyDescent="0.25">
      <c r="A281" s="2" t="s">
        <v>751</v>
      </c>
      <c r="B281" s="3" t="s">
        <v>752</v>
      </c>
      <c r="C281" s="3" t="s">
        <v>750</v>
      </c>
      <c r="D281" s="4" t="s">
        <v>7</v>
      </c>
      <c r="F281">
        <v>3345883725</v>
      </c>
      <c r="G281" s="1" t="s">
        <v>428</v>
      </c>
      <c r="H281" s="1" t="s">
        <v>1361</v>
      </c>
      <c r="I281" s="1" t="s">
        <v>1087</v>
      </c>
      <c r="J281">
        <v>2344</v>
      </c>
      <c r="K281" s="1" t="str">
        <f>VLOOKUP(uslugi411[[#This Row],[NIP]],nip_firm612[],2,FALSE)</f>
        <v>ZACH-MET</v>
      </c>
      <c r="L281" s="1" t="str">
        <f>_xlfn.CONCAT(uslugi411[[#This Row],[ozn]:[nr]])</f>
        <v>LUBJ742</v>
      </c>
    </row>
    <row r="282" spans="1:12" x14ac:dyDescent="0.25">
      <c r="A282" s="5" t="s">
        <v>753</v>
      </c>
      <c r="B282" s="6" t="s">
        <v>754</v>
      </c>
      <c r="C282" s="6" t="s">
        <v>755</v>
      </c>
      <c r="D282" s="7" t="s">
        <v>7</v>
      </c>
      <c r="F282">
        <v>5528435390</v>
      </c>
      <c r="G282" s="1" t="s">
        <v>1022</v>
      </c>
      <c r="H282" s="1" t="s">
        <v>1362</v>
      </c>
      <c r="I282" s="1" t="s">
        <v>1087</v>
      </c>
      <c r="J282">
        <v>2465</v>
      </c>
      <c r="K282" s="1" t="str">
        <f>VLOOKUP(uslugi411[[#This Row],[NIP]],nip_firm612[],2,FALSE)</f>
        <v>ZABER</v>
      </c>
      <c r="L282" s="1" t="str">
        <f>_xlfn.CONCAT(uslugi411[[#This Row],[ozn]:[nr]])</f>
        <v>SZA42FY</v>
      </c>
    </row>
    <row r="283" spans="1:12" x14ac:dyDescent="0.25">
      <c r="A283" s="2" t="s">
        <v>756</v>
      </c>
      <c r="B283" s="3" t="s">
        <v>757</v>
      </c>
      <c r="C283" s="3" t="s">
        <v>758</v>
      </c>
      <c r="D283" s="4" t="s">
        <v>7</v>
      </c>
      <c r="F283">
        <v>3783578981</v>
      </c>
      <c r="G283" s="1" t="s">
        <v>386</v>
      </c>
      <c r="H283" s="1" t="s">
        <v>1363</v>
      </c>
      <c r="I283" s="1" t="s">
        <v>1087</v>
      </c>
      <c r="J283">
        <v>2174</v>
      </c>
      <c r="K283" s="1" t="str">
        <f>VLOOKUP(uslugi411[[#This Row],[NIP]],nip_firm612[],2,FALSE)</f>
        <v>LUBEX</v>
      </c>
      <c r="L283" s="1" t="str">
        <f>_xlfn.CONCAT(uslugi411[[#This Row],[ozn]:[nr]])</f>
        <v>PL27910</v>
      </c>
    </row>
    <row r="284" spans="1:12" x14ac:dyDescent="0.25">
      <c r="A284" s="5" t="s">
        <v>759</v>
      </c>
      <c r="B284" s="6" t="s">
        <v>760</v>
      </c>
      <c r="C284" s="6" t="s">
        <v>761</v>
      </c>
      <c r="D284" s="7" t="s">
        <v>7</v>
      </c>
      <c r="F284">
        <v>4761158900</v>
      </c>
      <c r="G284" s="1" t="s">
        <v>29</v>
      </c>
      <c r="H284" s="1" t="s">
        <v>1364</v>
      </c>
      <c r="I284" s="1" t="s">
        <v>1081</v>
      </c>
      <c r="J284">
        <v>1812</v>
      </c>
      <c r="K284" s="1" t="str">
        <f>VLOOKUP(uslugi411[[#This Row],[NIP]],nip_firm612[],2,FALSE)</f>
        <v>WROCBUD3</v>
      </c>
      <c r="L284" s="1" t="str">
        <f>_xlfn.CONCAT(uslugi411[[#This Row],[ozn]:[nr]])</f>
        <v>BIA79797</v>
      </c>
    </row>
    <row r="285" spans="1:12" x14ac:dyDescent="0.25">
      <c r="A285" s="2" t="s">
        <v>762</v>
      </c>
      <c r="B285" s="3" t="s">
        <v>763</v>
      </c>
      <c r="C285" s="3" t="s">
        <v>763</v>
      </c>
      <c r="D285" s="4" t="s">
        <v>22</v>
      </c>
      <c r="F285">
        <v>4715154852</v>
      </c>
      <c r="G285" s="1" t="s">
        <v>1003</v>
      </c>
      <c r="H285" s="1" t="s">
        <v>1365</v>
      </c>
      <c r="I285" s="1" t="s">
        <v>1081</v>
      </c>
      <c r="J285">
        <v>2800</v>
      </c>
      <c r="K285" s="1" t="str">
        <f>VLOOKUP(uslugi411[[#This Row],[NIP]],nip_firm612[],2,FALSE)</f>
        <v>NAFTO-GAZ</v>
      </c>
      <c r="L285" s="1" t="str">
        <f>_xlfn.CONCAT(uslugi411[[#This Row],[ozn]:[nr]])</f>
        <v>DW601H</v>
      </c>
    </row>
    <row r="286" spans="1:12" x14ac:dyDescent="0.25">
      <c r="A286" s="5" t="s">
        <v>764</v>
      </c>
      <c r="B286" s="6" t="s">
        <v>765</v>
      </c>
      <c r="C286" s="6" t="s">
        <v>763</v>
      </c>
      <c r="D286" s="7" t="s">
        <v>7</v>
      </c>
      <c r="F286">
        <v>2581219876</v>
      </c>
      <c r="G286" s="1" t="s">
        <v>141</v>
      </c>
      <c r="H286" s="1" t="s">
        <v>1366</v>
      </c>
      <c r="I286" s="1" t="s">
        <v>1087</v>
      </c>
      <c r="J286">
        <v>2478</v>
      </c>
      <c r="K286" s="1" t="str">
        <f>VLOOKUP(uslugi411[[#This Row],[NIP]],nip_firm612[],2,FALSE)</f>
        <v>TECH-MASZ</v>
      </c>
      <c r="L286" s="1" t="str">
        <f>_xlfn.CONCAT(uslugi411[[#This Row],[ozn]:[nr]])</f>
        <v>NEBU728</v>
      </c>
    </row>
    <row r="287" spans="1:12" x14ac:dyDescent="0.25">
      <c r="A287" s="2" t="s">
        <v>766</v>
      </c>
      <c r="B287" s="3" t="s">
        <v>767</v>
      </c>
      <c r="C287" s="3" t="s">
        <v>768</v>
      </c>
      <c r="D287" s="4" t="s">
        <v>7</v>
      </c>
      <c r="F287">
        <v>2245871126</v>
      </c>
      <c r="G287" s="1" t="s">
        <v>73</v>
      </c>
      <c r="H287" s="1" t="s">
        <v>1367</v>
      </c>
      <c r="I287" s="1" t="s">
        <v>1081</v>
      </c>
      <c r="J287">
        <v>2562</v>
      </c>
      <c r="K287" s="1" t="str">
        <f>VLOOKUP(uslugi411[[#This Row],[NIP]],nip_firm612[],2,FALSE)</f>
        <v>OLSZTYN</v>
      </c>
      <c r="L287" s="1" t="str">
        <f>_xlfn.CONCAT(uslugi411[[#This Row],[ozn]:[nr]])</f>
        <v>TBU23870</v>
      </c>
    </row>
    <row r="288" spans="1:12" x14ac:dyDescent="0.25">
      <c r="A288" s="5" t="s">
        <v>769</v>
      </c>
      <c r="B288" s="6" t="s">
        <v>770</v>
      </c>
      <c r="C288" s="6" t="s">
        <v>771</v>
      </c>
      <c r="D288" s="7" t="s">
        <v>7</v>
      </c>
      <c r="F288">
        <v>6727559092</v>
      </c>
      <c r="G288" s="1" t="s">
        <v>562</v>
      </c>
      <c r="H288" s="1" t="s">
        <v>1368</v>
      </c>
      <c r="I288" s="1" t="s">
        <v>1087</v>
      </c>
      <c r="J288">
        <v>980</v>
      </c>
      <c r="K288" s="1" t="str">
        <f>VLOOKUP(uslugi411[[#This Row],[NIP]],nip_firm612[],2,FALSE)</f>
        <v>ANDROPOL SP. Z. O. O.</v>
      </c>
      <c r="L288" s="1" t="str">
        <f>_xlfn.CONCAT(uslugi411[[#This Row],[ozn]:[nr]])</f>
        <v>OPO268H</v>
      </c>
    </row>
    <row r="289" spans="1:12" x14ac:dyDescent="0.25">
      <c r="A289" s="2" t="s">
        <v>772</v>
      </c>
      <c r="B289" s="3" t="s">
        <v>773</v>
      </c>
      <c r="C289" s="3" t="s">
        <v>774</v>
      </c>
      <c r="D289" s="4" t="s">
        <v>7</v>
      </c>
      <c r="F289">
        <v>1361555378</v>
      </c>
      <c r="G289" s="1" t="s">
        <v>1022</v>
      </c>
      <c r="H289" s="1" t="s">
        <v>1369</v>
      </c>
      <c r="I289" s="1" t="s">
        <v>1087</v>
      </c>
      <c r="J289">
        <v>2325</v>
      </c>
      <c r="K289" s="1" t="str">
        <f>VLOOKUP(uslugi411[[#This Row],[NIP]],nip_firm612[],2,FALSE)</f>
        <v>OSTOPOL</v>
      </c>
      <c r="L289" s="1" t="str">
        <f>_xlfn.CONCAT(uslugi411[[#This Row],[ozn]:[nr]])</f>
        <v>SZWB235</v>
      </c>
    </row>
    <row r="290" spans="1:12" x14ac:dyDescent="0.25">
      <c r="A290" s="5" t="s">
        <v>775</v>
      </c>
      <c r="B290" s="6" t="s">
        <v>776</v>
      </c>
      <c r="C290" s="6" t="s">
        <v>776</v>
      </c>
      <c r="D290" s="7" t="s">
        <v>22</v>
      </c>
      <c r="F290">
        <v>5418968184</v>
      </c>
      <c r="G290" s="1" t="s">
        <v>1022</v>
      </c>
      <c r="H290" s="1" t="s">
        <v>1370</v>
      </c>
      <c r="I290" s="1" t="s">
        <v>1087</v>
      </c>
      <c r="J290">
        <v>1830</v>
      </c>
      <c r="K290" s="1" t="str">
        <f>VLOOKUP(uslugi411[[#This Row],[NIP]],nip_firm612[],2,FALSE)</f>
        <v>SOSNEC</v>
      </c>
      <c r="L290" s="1" t="str">
        <f>_xlfn.CONCAT(uslugi411[[#This Row],[ozn]:[nr]])</f>
        <v>SZO58CY</v>
      </c>
    </row>
    <row r="291" spans="1:12" x14ac:dyDescent="0.25">
      <c r="A291" s="2" t="s">
        <v>777</v>
      </c>
      <c r="B291" s="3" t="s">
        <v>778</v>
      </c>
      <c r="C291" s="3" t="s">
        <v>778</v>
      </c>
      <c r="D291" s="4" t="s">
        <v>22</v>
      </c>
      <c r="F291">
        <v>1165493421</v>
      </c>
      <c r="G291" s="1" t="s">
        <v>1022</v>
      </c>
      <c r="H291" s="1" t="s">
        <v>1371</v>
      </c>
      <c r="I291" s="1" t="s">
        <v>1081</v>
      </c>
      <c r="J291">
        <v>3122</v>
      </c>
      <c r="K291" s="1" t="str">
        <f>VLOOKUP(uslugi411[[#This Row],[NIP]],nip_firm612[],2,FALSE)</f>
        <v>LESZNO</v>
      </c>
      <c r="L291" s="1" t="str">
        <f>_xlfn.CONCAT(uslugi411[[#This Row],[ozn]:[nr]])</f>
        <v>SZL72WG</v>
      </c>
    </row>
    <row r="292" spans="1:12" x14ac:dyDescent="0.25">
      <c r="A292" s="5" t="s">
        <v>779</v>
      </c>
      <c r="B292" s="6" t="s">
        <v>780</v>
      </c>
      <c r="C292" s="6" t="s">
        <v>781</v>
      </c>
      <c r="D292" s="7" t="s">
        <v>7</v>
      </c>
      <c r="F292">
        <v>1433397952</v>
      </c>
      <c r="G292" s="1" t="s">
        <v>314</v>
      </c>
      <c r="H292" s="1" t="s">
        <v>1372</v>
      </c>
      <c r="I292" s="1" t="s">
        <v>1081</v>
      </c>
      <c r="J292">
        <v>2660</v>
      </c>
      <c r="K292" s="1" t="str">
        <f>VLOOKUP(uslugi411[[#This Row],[NIP]],nip_firm612[],2,FALSE)</f>
        <v>BARTEX</v>
      </c>
      <c r="L292" s="1" t="str">
        <f>_xlfn.CONCAT(uslugi411[[#This Row],[ozn]:[nr]])</f>
        <v>PN16828</v>
      </c>
    </row>
    <row r="293" spans="1:12" x14ac:dyDescent="0.25">
      <c r="A293" s="2" t="s">
        <v>782</v>
      </c>
      <c r="B293" s="3" t="s">
        <v>780</v>
      </c>
      <c r="C293" s="3" t="s">
        <v>783</v>
      </c>
      <c r="D293" s="4" t="s">
        <v>7</v>
      </c>
      <c r="F293">
        <v>6727559092</v>
      </c>
      <c r="G293" s="1" t="s">
        <v>864</v>
      </c>
      <c r="H293" s="1" t="s">
        <v>1373</v>
      </c>
      <c r="I293" s="1" t="s">
        <v>1081</v>
      </c>
      <c r="J293">
        <v>2822</v>
      </c>
      <c r="K293" s="1" t="str">
        <f>VLOOKUP(uslugi411[[#This Row],[NIP]],nip_firm612[],2,FALSE)</f>
        <v>ANDROPOL SP. Z. O. O.</v>
      </c>
      <c r="L293" s="1" t="str">
        <f>_xlfn.CONCAT(uslugi411[[#This Row],[ozn]:[nr]])</f>
        <v>STA334F</v>
      </c>
    </row>
    <row r="294" spans="1:12" x14ac:dyDescent="0.25">
      <c r="A294" s="5" t="s">
        <v>784</v>
      </c>
      <c r="B294" s="6" t="s">
        <v>785</v>
      </c>
      <c r="C294" s="6" t="s">
        <v>786</v>
      </c>
      <c r="D294" s="7" t="s">
        <v>7</v>
      </c>
      <c r="F294">
        <v>5514533376</v>
      </c>
      <c r="G294" s="1" t="s">
        <v>255</v>
      </c>
      <c r="H294" s="1" t="s">
        <v>1374</v>
      </c>
      <c r="I294" s="1" t="s">
        <v>1081</v>
      </c>
      <c r="J294">
        <v>2895</v>
      </c>
      <c r="K294" s="1" t="str">
        <f>VLOOKUP(uslugi411[[#This Row],[NIP]],nip_firm612[],2,FALSE)</f>
        <v>BYTOM2</v>
      </c>
      <c r="L294" s="1" t="str">
        <f>_xlfn.CONCAT(uslugi411[[#This Row],[ozn]:[nr]])</f>
        <v>DJE25890</v>
      </c>
    </row>
    <row r="295" spans="1:12" x14ac:dyDescent="0.25">
      <c r="A295" s="2" t="s">
        <v>787</v>
      </c>
      <c r="B295" s="3" t="s">
        <v>788</v>
      </c>
      <c r="C295" s="3" t="s">
        <v>789</v>
      </c>
      <c r="D295" s="4" t="s">
        <v>7</v>
      </c>
      <c r="F295">
        <v>3866883575</v>
      </c>
      <c r="G295" s="1" t="s">
        <v>434</v>
      </c>
      <c r="H295" s="1" t="s">
        <v>1375</v>
      </c>
      <c r="I295" s="1" t="s">
        <v>1081</v>
      </c>
      <c r="J295">
        <v>2638</v>
      </c>
      <c r="K295" s="1" t="str">
        <f>VLOOKUP(uslugi411[[#This Row],[NIP]],nip_firm612[],2,FALSE)</f>
        <v>KPICO</v>
      </c>
      <c r="L295" s="1" t="str">
        <f>_xlfn.CONCAT(uslugi411[[#This Row],[ozn]:[nr]])</f>
        <v>LU3601Y</v>
      </c>
    </row>
    <row r="296" spans="1:12" x14ac:dyDescent="0.25">
      <c r="A296" s="5" t="s">
        <v>790</v>
      </c>
      <c r="B296" s="6" t="s">
        <v>791</v>
      </c>
      <c r="C296" s="6" t="s">
        <v>792</v>
      </c>
      <c r="D296" s="7" t="s">
        <v>7</v>
      </c>
      <c r="F296">
        <v>1433397952</v>
      </c>
      <c r="G296" s="1" t="s">
        <v>314</v>
      </c>
      <c r="H296" s="1" t="s">
        <v>1376</v>
      </c>
      <c r="I296" s="1" t="s">
        <v>1081</v>
      </c>
      <c r="J296">
        <v>2018</v>
      </c>
      <c r="K296" s="1" t="str">
        <f>VLOOKUP(uslugi411[[#This Row],[NIP]],nip_firm612[],2,FALSE)</f>
        <v>BARTEX</v>
      </c>
      <c r="L296" s="1" t="str">
        <f>_xlfn.CONCAT(uslugi411[[#This Row],[ozn]:[nr]])</f>
        <v>PN3641B</v>
      </c>
    </row>
    <row r="297" spans="1:12" x14ac:dyDescent="0.25">
      <c r="A297" s="2" t="s">
        <v>793</v>
      </c>
      <c r="B297" s="3" t="s">
        <v>794</v>
      </c>
      <c r="C297" s="3" t="s">
        <v>795</v>
      </c>
      <c r="D297" s="4" t="s">
        <v>7</v>
      </c>
      <c r="F297">
        <v>4779174699</v>
      </c>
      <c r="G297" s="1" t="s">
        <v>1003</v>
      </c>
      <c r="H297" s="1" t="s">
        <v>1377</v>
      </c>
      <c r="I297" s="1" t="s">
        <v>1081</v>
      </c>
      <c r="J297">
        <v>1600</v>
      </c>
      <c r="K297" s="1" t="str">
        <f>VLOOKUP(uslugi411[[#This Row],[NIP]],nip_firm612[],2,FALSE)</f>
        <v>FASO</v>
      </c>
      <c r="L297" s="1" t="str">
        <f>_xlfn.CONCAT(uslugi411[[#This Row],[ozn]:[nr]])</f>
        <v>DW16848</v>
      </c>
    </row>
    <row r="298" spans="1:12" x14ac:dyDescent="0.25">
      <c r="A298" s="5" t="s">
        <v>796</v>
      </c>
      <c r="B298" s="6" t="s">
        <v>797</v>
      </c>
      <c r="C298" s="6" t="s">
        <v>798</v>
      </c>
      <c r="D298" s="7" t="s">
        <v>7</v>
      </c>
      <c r="F298">
        <v>4326751508</v>
      </c>
      <c r="G298" s="1" t="s">
        <v>386</v>
      </c>
      <c r="H298" s="1" t="s">
        <v>1378</v>
      </c>
      <c r="I298" s="1" t="s">
        <v>1081</v>
      </c>
      <c r="J298">
        <v>1800</v>
      </c>
      <c r="K298" s="1" t="str">
        <f>VLOOKUP(uslugi411[[#This Row],[NIP]],nip_firm612[],2,FALSE)</f>
        <v>WROCBUD2</v>
      </c>
      <c r="L298" s="1" t="str">
        <f>_xlfn.CONCAT(uslugi411[[#This Row],[ozn]:[nr]])</f>
        <v>PL67576</v>
      </c>
    </row>
    <row r="299" spans="1:12" x14ac:dyDescent="0.25">
      <c r="A299" s="2" t="s">
        <v>799</v>
      </c>
      <c r="B299" s="3" t="s">
        <v>800</v>
      </c>
      <c r="C299" s="3" t="s">
        <v>801</v>
      </c>
      <c r="D299" s="4" t="s">
        <v>7</v>
      </c>
      <c r="F299">
        <v>4761158900</v>
      </c>
      <c r="G299" s="1" t="s">
        <v>29</v>
      </c>
      <c r="H299" s="1" t="s">
        <v>1379</v>
      </c>
      <c r="I299" s="1" t="s">
        <v>1081</v>
      </c>
      <c r="J299">
        <v>3144</v>
      </c>
      <c r="K299" s="1" t="str">
        <f>VLOOKUP(uslugi411[[#This Row],[NIP]],nip_firm612[],2,FALSE)</f>
        <v>WROCBUD3</v>
      </c>
      <c r="L299" s="1" t="str">
        <f>_xlfn.CONCAT(uslugi411[[#This Row],[ozn]:[nr]])</f>
        <v>BIA72020</v>
      </c>
    </row>
    <row r="300" spans="1:12" x14ac:dyDescent="0.25">
      <c r="A300" s="5" t="s">
        <v>802</v>
      </c>
      <c r="B300" s="6" t="s">
        <v>803</v>
      </c>
      <c r="C300" s="6" t="s">
        <v>804</v>
      </c>
      <c r="D300" s="7" t="s">
        <v>7</v>
      </c>
      <c r="F300">
        <v>2119268767</v>
      </c>
      <c r="G300" s="1" t="s">
        <v>141</v>
      </c>
      <c r="H300" s="1" t="s">
        <v>1380</v>
      </c>
      <c r="I300" s="1" t="s">
        <v>1081</v>
      </c>
      <c r="J300">
        <v>1740</v>
      </c>
      <c r="K300" s="1" t="str">
        <f>VLOOKUP(uslugi411[[#This Row],[NIP]],nip_firm612[],2,FALSE)</f>
        <v>PETROLEUM</v>
      </c>
      <c r="L300" s="1" t="str">
        <f>_xlfn.CONCAT(uslugi411[[#This Row],[ozn]:[nr]])</f>
        <v>NEBD604</v>
      </c>
    </row>
    <row r="301" spans="1:12" x14ac:dyDescent="0.25">
      <c r="A301" s="2" t="s">
        <v>805</v>
      </c>
      <c r="B301" s="3" t="s">
        <v>806</v>
      </c>
      <c r="C301" s="3" t="s">
        <v>807</v>
      </c>
      <c r="D301" s="4" t="s">
        <v>7</v>
      </c>
      <c r="F301">
        <v>2581219876</v>
      </c>
      <c r="G301" s="1" t="s">
        <v>141</v>
      </c>
      <c r="H301" s="1" t="s">
        <v>1381</v>
      </c>
      <c r="I301" s="1" t="s">
        <v>1081</v>
      </c>
      <c r="J301">
        <v>2490</v>
      </c>
      <c r="K301" s="1" t="str">
        <f>VLOOKUP(uslugi411[[#This Row],[NIP]],nip_firm612[],2,FALSE)</f>
        <v>TECH-MASZ</v>
      </c>
      <c r="L301" s="1" t="str">
        <f>_xlfn.CONCAT(uslugi411[[#This Row],[ozn]:[nr]])</f>
        <v>NEBY726</v>
      </c>
    </row>
    <row r="302" spans="1:12" x14ac:dyDescent="0.25">
      <c r="A302" s="5" t="s">
        <v>808</v>
      </c>
      <c r="B302" s="6" t="s">
        <v>809</v>
      </c>
      <c r="C302" s="6" t="s">
        <v>810</v>
      </c>
      <c r="D302" s="7" t="s">
        <v>7</v>
      </c>
      <c r="F302">
        <v>2281651150</v>
      </c>
      <c r="G302" s="1" t="s">
        <v>552</v>
      </c>
      <c r="H302" s="1" t="s">
        <v>1382</v>
      </c>
      <c r="I302" s="1" t="s">
        <v>1087</v>
      </c>
      <c r="J302">
        <v>2170</v>
      </c>
      <c r="K302" s="1" t="str">
        <f>VLOOKUP(uslugi411[[#This Row],[NIP]],nip_firm612[],2,FALSE)</f>
        <v>MAZUTEX</v>
      </c>
      <c r="L302" s="1" t="str">
        <f>_xlfn.CONCAT(uslugi411[[#This Row],[ozn]:[nr]])</f>
        <v>NOLY648</v>
      </c>
    </row>
    <row r="303" spans="1:12" x14ac:dyDescent="0.25">
      <c r="A303" s="2" t="s">
        <v>811</v>
      </c>
      <c r="B303" s="3" t="s">
        <v>812</v>
      </c>
      <c r="C303" s="3" t="s">
        <v>813</v>
      </c>
      <c r="D303" s="4" t="s">
        <v>7</v>
      </c>
      <c r="F303">
        <v>1599095267</v>
      </c>
      <c r="G303" s="1" t="s">
        <v>1022</v>
      </c>
      <c r="H303" s="1" t="s">
        <v>1383</v>
      </c>
      <c r="I303" s="1" t="s">
        <v>1081</v>
      </c>
      <c r="J303">
        <v>2238</v>
      </c>
      <c r="K303" s="1" t="str">
        <f>VLOOKUP(uslugi411[[#This Row],[NIP]],nip_firm612[],2,FALSE)</f>
        <v>ZONAN</v>
      </c>
      <c r="L303" s="1" t="str">
        <f>_xlfn.CONCAT(uslugi411[[#This Row],[ozn]:[nr]])</f>
        <v>SZPR133</v>
      </c>
    </row>
    <row r="304" spans="1:12" x14ac:dyDescent="0.25">
      <c r="A304" s="5" t="s">
        <v>814</v>
      </c>
      <c r="B304" s="6" t="s">
        <v>815</v>
      </c>
      <c r="C304" s="6" t="s">
        <v>816</v>
      </c>
      <c r="D304" s="7" t="s">
        <v>7</v>
      </c>
      <c r="F304">
        <v>3783578981</v>
      </c>
      <c r="G304" s="1" t="s">
        <v>386</v>
      </c>
      <c r="H304" s="1" t="s">
        <v>1384</v>
      </c>
      <c r="I304" s="1" t="s">
        <v>1087</v>
      </c>
      <c r="J304">
        <v>2642</v>
      </c>
      <c r="K304" s="1" t="str">
        <f>VLOOKUP(uslugi411[[#This Row],[NIP]],nip_firm612[],2,FALSE)</f>
        <v>LUBEX</v>
      </c>
      <c r="L304" s="1" t="str">
        <f>_xlfn.CONCAT(uslugi411[[#This Row],[ozn]:[nr]])</f>
        <v>PL28516</v>
      </c>
    </row>
    <row r="305" spans="1:12" x14ac:dyDescent="0.25">
      <c r="A305" s="2" t="s">
        <v>817</v>
      </c>
      <c r="B305" s="3" t="s">
        <v>818</v>
      </c>
      <c r="C305" s="3" t="s">
        <v>819</v>
      </c>
      <c r="D305" s="4" t="s">
        <v>7</v>
      </c>
      <c r="F305">
        <v>4779174699</v>
      </c>
      <c r="G305" s="1" t="s">
        <v>1003</v>
      </c>
      <c r="H305" s="1" t="s">
        <v>1385</v>
      </c>
      <c r="I305" s="1" t="s">
        <v>1081</v>
      </c>
      <c r="J305">
        <v>1575</v>
      </c>
      <c r="K305" s="1" t="str">
        <f>VLOOKUP(uslugi411[[#This Row],[NIP]],nip_firm612[],2,FALSE)</f>
        <v>FASO</v>
      </c>
      <c r="L305" s="1" t="str">
        <f>_xlfn.CONCAT(uslugi411[[#This Row],[ozn]:[nr]])</f>
        <v>DW16850</v>
      </c>
    </row>
    <row r="306" spans="1:12" x14ac:dyDescent="0.25">
      <c r="A306" s="5" t="s">
        <v>820</v>
      </c>
      <c r="B306" s="6" t="s">
        <v>821</v>
      </c>
      <c r="C306" s="6" t="s">
        <v>821</v>
      </c>
      <c r="D306" s="7" t="s">
        <v>22</v>
      </c>
      <c r="F306">
        <v>4580185570</v>
      </c>
      <c r="G306" s="1" t="s">
        <v>1022</v>
      </c>
      <c r="H306" s="1" t="s">
        <v>1386</v>
      </c>
      <c r="I306" s="1" t="s">
        <v>1081</v>
      </c>
      <c r="J306">
        <v>1623</v>
      </c>
      <c r="K306" s="1" t="str">
        <f>VLOOKUP(uslugi411[[#This Row],[NIP]],nip_firm612[],2,FALSE)</f>
        <v>JELORA</v>
      </c>
      <c r="L306" s="1" t="str">
        <f>_xlfn.CONCAT(uslugi411[[#This Row],[ozn]:[nr]])</f>
        <v>SZJG549</v>
      </c>
    </row>
    <row r="307" spans="1:12" x14ac:dyDescent="0.25">
      <c r="A307" s="2" t="s">
        <v>822</v>
      </c>
      <c r="B307" s="3" t="s">
        <v>823</v>
      </c>
      <c r="C307" s="3" t="s">
        <v>821</v>
      </c>
      <c r="D307" s="4" t="s">
        <v>7</v>
      </c>
      <c r="F307">
        <v>6727559092</v>
      </c>
      <c r="G307" s="1" t="s">
        <v>864</v>
      </c>
      <c r="H307" s="1" t="s">
        <v>1387</v>
      </c>
      <c r="I307" s="1" t="s">
        <v>1087</v>
      </c>
      <c r="J307">
        <v>2550</v>
      </c>
      <c r="K307" s="1" t="str">
        <f>VLOOKUP(uslugi411[[#This Row],[NIP]],nip_firm612[],2,FALSE)</f>
        <v>ANDROPOL SP. Z. O. O.</v>
      </c>
      <c r="L307" s="1" t="str">
        <f>_xlfn.CONCAT(uslugi411[[#This Row],[ozn]:[nr]])</f>
        <v>STA290G</v>
      </c>
    </row>
    <row r="308" spans="1:12" x14ac:dyDescent="0.25">
      <c r="A308" s="5" t="s">
        <v>824</v>
      </c>
      <c r="B308" s="6" t="s">
        <v>825</v>
      </c>
      <c r="C308" s="6" t="s">
        <v>826</v>
      </c>
      <c r="D308" s="7" t="s">
        <v>7</v>
      </c>
      <c r="F308">
        <v>6727559092</v>
      </c>
      <c r="G308" s="1" t="s">
        <v>864</v>
      </c>
      <c r="H308" s="1" t="s">
        <v>1388</v>
      </c>
      <c r="I308" s="1" t="s">
        <v>1081</v>
      </c>
      <c r="J308">
        <v>2384</v>
      </c>
      <c r="K308" s="1" t="str">
        <f>VLOOKUP(uslugi411[[#This Row],[NIP]],nip_firm612[],2,FALSE)</f>
        <v>ANDROPOL SP. Z. O. O.</v>
      </c>
      <c r="L308" s="1" t="str">
        <f>_xlfn.CONCAT(uslugi411[[#This Row],[ozn]:[nr]])</f>
        <v>STA312W</v>
      </c>
    </row>
    <row r="309" spans="1:12" x14ac:dyDescent="0.25">
      <c r="A309" s="2" t="s">
        <v>827</v>
      </c>
      <c r="B309" s="3" t="s">
        <v>825</v>
      </c>
      <c r="C309" s="3" t="s">
        <v>828</v>
      </c>
      <c r="D309" s="4" t="s">
        <v>7</v>
      </c>
      <c r="F309">
        <v>5418968184</v>
      </c>
      <c r="G309" s="1" t="s">
        <v>708</v>
      </c>
      <c r="H309" s="1" t="s">
        <v>1389</v>
      </c>
      <c r="I309" s="1" t="s">
        <v>1087</v>
      </c>
      <c r="J309">
        <v>2364</v>
      </c>
      <c r="K309" s="1" t="str">
        <f>VLOOKUP(uslugi411[[#This Row],[NIP]],nip_firm612[],2,FALSE)</f>
        <v>SOSNEC</v>
      </c>
      <c r="L309" s="1" t="str">
        <f>_xlfn.CONCAT(uslugi411[[#This Row],[ozn]:[nr]])</f>
        <v>SRO66QH</v>
      </c>
    </row>
    <row r="310" spans="1:12" x14ac:dyDescent="0.25">
      <c r="A310" s="5" t="s">
        <v>829</v>
      </c>
      <c r="B310" s="6" t="s">
        <v>830</v>
      </c>
      <c r="C310" s="6" t="s">
        <v>831</v>
      </c>
      <c r="D310" s="7" t="s">
        <v>7</v>
      </c>
      <c r="F310">
        <v>5514533376</v>
      </c>
      <c r="G310" s="1" t="s">
        <v>255</v>
      </c>
      <c r="H310" s="1" t="s">
        <v>1390</v>
      </c>
      <c r="I310" s="1" t="s">
        <v>1081</v>
      </c>
      <c r="J310">
        <v>2642</v>
      </c>
      <c r="K310" s="1" t="str">
        <f>VLOOKUP(uslugi411[[#This Row],[NIP]],nip_firm612[],2,FALSE)</f>
        <v>BYTOM2</v>
      </c>
      <c r="L310" s="1" t="str">
        <f>_xlfn.CONCAT(uslugi411[[#This Row],[ozn]:[nr]])</f>
        <v>DJE26496</v>
      </c>
    </row>
    <row r="311" spans="1:12" x14ac:dyDescent="0.25">
      <c r="A311" s="2" t="s">
        <v>832</v>
      </c>
      <c r="B311" s="3" t="s">
        <v>833</v>
      </c>
      <c r="C311" s="3" t="s">
        <v>834</v>
      </c>
      <c r="D311" s="4" t="s">
        <v>7</v>
      </c>
      <c r="F311">
        <v>3579231044</v>
      </c>
      <c r="G311" s="1" t="s">
        <v>370</v>
      </c>
      <c r="H311" s="1" t="s">
        <v>1391</v>
      </c>
      <c r="I311" s="1" t="s">
        <v>1081</v>
      </c>
      <c r="J311">
        <v>3002</v>
      </c>
      <c r="K311" s="1" t="str">
        <f>VLOOKUP(uslugi411[[#This Row],[NIP]],nip_firm612[],2,FALSE)</f>
        <v>BAZALT S. A.</v>
      </c>
      <c r="L311" s="1" t="str">
        <f>_xlfn.CONCAT(uslugi411[[#This Row],[ozn]:[nr]])</f>
        <v>LLER714</v>
      </c>
    </row>
    <row r="312" spans="1:12" x14ac:dyDescent="0.25">
      <c r="A312" s="5" t="s">
        <v>835</v>
      </c>
      <c r="B312" s="6" t="s">
        <v>836</v>
      </c>
      <c r="C312" s="6" t="s">
        <v>837</v>
      </c>
      <c r="D312" s="7" t="s">
        <v>7</v>
      </c>
      <c r="F312">
        <v>4458233905</v>
      </c>
      <c r="G312" s="1" t="s">
        <v>1003</v>
      </c>
      <c r="H312" s="1" t="s">
        <v>1392</v>
      </c>
      <c r="I312" s="1" t="s">
        <v>1081</v>
      </c>
      <c r="J312">
        <v>3128</v>
      </c>
      <c r="K312" s="1" t="str">
        <f>VLOOKUP(uslugi411[[#This Row],[NIP]],nip_firm612[],2,FALSE)</f>
        <v>WROCBUD1</v>
      </c>
      <c r="L312" s="1" t="str">
        <f>_xlfn.CONCAT(uslugi411[[#This Row],[ozn]:[nr]])</f>
        <v>DW56456</v>
      </c>
    </row>
    <row r="313" spans="1:12" x14ac:dyDescent="0.25">
      <c r="A313" s="2" t="s">
        <v>838</v>
      </c>
      <c r="B313" s="3" t="s">
        <v>839</v>
      </c>
      <c r="C313" s="3" t="s">
        <v>840</v>
      </c>
      <c r="D313" s="4" t="s">
        <v>22</v>
      </c>
      <c r="F313">
        <v>1939065269</v>
      </c>
      <c r="G313" s="1" t="s">
        <v>636</v>
      </c>
      <c r="H313" s="1" t="s">
        <v>1393</v>
      </c>
      <c r="I313" s="1" t="s">
        <v>1087</v>
      </c>
      <c r="J313">
        <v>1980</v>
      </c>
      <c r="K313" s="1" t="str">
        <f>VLOOKUP(uslugi411[[#This Row],[NIP]],nip_firm612[],2,FALSE)</f>
        <v>KUSTMASZ</v>
      </c>
      <c r="L313" s="1" t="str">
        <f>_xlfn.CONCAT(uslugi411[[#This Row],[ozn]:[nr]])</f>
        <v>PO16884</v>
      </c>
    </row>
    <row r="314" spans="1:12" x14ac:dyDescent="0.25">
      <c r="A314" s="5" t="s">
        <v>841</v>
      </c>
      <c r="B314" s="6" t="s">
        <v>842</v>
      </c>
      <c r="C314" s="6" t="s">
        <v>842</v>
      </c>
      <c r="D314" s="7" t="s">
        <v>22</v>
      </c>
      <c r="F314">
        <v>3345883725</v>
      </c>
      <c r="G314" s="1" t="s">
        <v>428</v>
      </c>
      <c r="H314" s="1" t="s">
        <v>1394</v>
      </c>
      <c r="I314" s="1" t="s">
        <v>1087</v>
      </c>
      <c r="J314">
        <v>2784</v>
      </c>
      <c r="K314" s="1" t="str">
        <f>VLOOKUP(uslugi411[[#This Row],[NIP]],nip_firm612[],2,FALSE)</f>
        <v>ZACH-MET</v>
      </c>
      <c r="L314" s="1" t="str">
        <f>_xlfn.CONCAT(uslugi411[[#This Row],[ozn]:[nr]])</f>
        <v>LUBI740</v>
      </c>
    </row>
    <row r="315" spans="1:12" x14ac:dyDescent="0.25">
      <c r="A315" s="2" t="s">
        <v>843</v>
      </c>
      <c r="B315" s="3" t="s">
        <v>844</v>
      </c>
      <c r="C315" s="3" t="s">
        <v>845</v>
      </c>
      <c r="D315" s="4" t="s">
        <v>7</v>
      </c>
      <c r="F315">
        <v>3357631311</v>
      </c>
      <c r="G315" s="1" t="s">
        <v>1030</v>
      </c>
      <c r="H315" s="1" t="s">
        <v>1395</v>
      </c>
      <c r="I315" s="1" t="s">
        <v>1081</v>
      </c>
      <c r="J315">
        <v>2014</v>
      </c>
      <c r="K315" s="1" t="str">
        <f>VLOOKUP(uslugi411[[#This Row],[NIP]],nip_firm612[],2,FALSE)</f>
        <v>GAZPOL</v>
      </c>
      <c r="L315" s="1" t="str">
        <f>_xlfn.CONCAT(uslugi411[[#This Row],[ozn]:[nr]])</f>
        <v>LZAT642</v>
      </c>
    </row>
    <row r="316" spans="1:12" x14ac:dyDescent="0.25">
      <c r="A316" s="5" t="s">
        <v>846</v>
      </c>
      <c r="B316" s="6" t="s">
        <v>847</v>
      </c>
      <c r="C316" s="6" t="s">
        <v>847</v>
      </c>
      <c r="D316" s="7" t="s">
        <v>22</v>
      </c>
      <c r="F316">
        <v>2869229213</v>
      </c>
      <c r="G316" s="1" t="s">
        <v>708</v>
      </c>
      <c r="H316" s="1" t="s">
        <v>1396</v>
      </c>
      <c r="I316" s="1" t="s">
        <v>1087</v>
      </c>
      <c r="J316">
        <v>1280</v>
      </c>
      <c r="K316" s="1" t="str">
        <f>VLOOKUP(uslugi411[[#This Row],[NIP]],nip_firm612[],2,FALSE)</f>
        <v>KERN</v>
      </c>
      <c r="L316" s="1" t="str">
        <f>_xlfn.CONCAT(uslugi411[[#This Row],[ozn]:[nr]])</f>
        <v>SRK34AW</v>
      </c>
    </row>
    <row r="317" spans="1:12" x14ac:dyDescent="0.25">
      <c r="A317" s="2" t="s">
        <v>848</v>
      </c>
      <c r="B317" s="3" t="s">
        <v>849</v>
      </c>
      <c r="C317" s="3" t="s">
        <v>850</v>
      </c>
      <c r="D317" s="4" t="s">
        <v>7</v>
      </c>
      <c r="F317">
        <v>1599095267</v>
      </c>
      <c r="G317" s="1" t="s">
        <v>708</v>
      </c>
      <c r="H317" s="1" t="s">
        <v>1397</v>
      </c>
      <c r="I317" s="1" t="s">
        <v>1087</v>
      </c>
      <c r="J317">
        <v>2796</v>
      </c>
      <c r="K317" s="1" t="str">
        <f>VLOOKUP(uslugi411[[#This Row],[NIP]],nip_firm612[],2,FALSE)</f>
        <v>ZONAN</v>
      </c>
      <c r="L317" s="1" t="str">
        <f>_xlfn.CONCAT(uslugi411[[#This Row],[ozn]:[nr]])</f>
        <v>SRPS130</v>
      </c>
    </row>
    <row r="318" spans="1:12" x14ac:dyDescent="0.25">
      <c r="A318" s="5" t="s">
        <v>851</v>
      </c>
      <c r="B318" s="6" t="s">
        <v>852</v>
      </c>
      <c r="C318" s="6" t="s">
        <v>853</v>
      </c>
      <c r="D318" s="7" t="s">
        <v>7</v>
      </c>
      <c r="F318">
        <v>3678947206</v>
      </c>
      <c r="G318" s="1" t="s">
        <v>527</v>
      </c>
      <c r="H318" s="1" t="s">
        <v>1398</v>
      </c>
      <c r="I318" s="1" t="s">
        <v>1087</v>
      </c>
      <c r="J318">
        <v>2475</v>
      </c>
      <c r="K318" s="1" t="str">
        <f>VLOOKUP(uslugi411[[#This Row],[NIP]],nip_firm612[],2,FALSE)</f>
        <v>LUBLIN2</v>
      </c>
      <c r="L318" s="1" t="str">
        <f>_xlfn.CONCAT(uslugi411[[#This Row],[ozn]:[nr]])</f>
        <v>ONY1289</v>
      </c>
    </row>
    <row r="319" spans="1:12" x14ac:dyDescent="0.25">
      <c r="A319" s="2" t="s">
        <v>854</v>
      </c>
      <c r="B319" s="3" t="s">
        <v>855</v>
      </c>
      <c r="C319" s="3" t="s">
        <v>856</v>
      </c>
      <c r="D319" s="4" t="s">
        <v>7</v>
      </c>
      <c r="F319">
        <v>2245871126</v>
      </c>
      <c r="G319" s="1" t="s">
        <v>73</v>
      </c>
      <c r="H319" s="1" t="s">
        <v>1399</v>
      </c>
      <c r="I319" s="1" t="s">
        <v>1087</v>
      </c>
      <c r="J319">
        <v>1806</v>
      </c>
      <c r="K319" s="1" t="str">
        <f>VLOOKUP(uslugi411[[#This Row],[NIP]],nip_firm612[],2,FALSE)</f>
        <v>OLSZTYN</v>
      </c>
      <c r="L319" s="1" t="str">
        <f>_xlfn.CONCAT(uslugi411[[#This Row],[ozn]:[nr]])</f>
        <v>TBU23668</v>
      </c>
    </row>
    <row r="320" spans="1:12" x14ac:dyDescent="0.25">
      <c r="A320" s="5" t="s">
        <v>857</v>
      </c>
      <c r="B320" s="6" t="s">
        <v>858</v>
      </c>
      <c r="C320" s="6" t="s">
        <v>859</v>
      </c>
      <c r="D320" s="7" t="s">
        <v>7</v>
      </c>
      <c r="F320">
        <v>5115061689</v>
      </c>
      <c r="G320" s="1" t="s">
        <v>704</v>
      </c>
      <c r="H320" s="1" t="s">
        <v>1400</v>
      </c>
      <c r="I320" s="1" t="s">
        <v>1087</v>
      </c>
      <c r="J320">
        <v>2595</v>
      </c>
      <c r="K320" s="1" t="str">
        <f>VLOOKUP(uslugi411[[#This Row],[NIP]],nip_firm612[],2,FALSE)</f>
        <v>BETON-STAL</v>
      </c>
      <c r="L320" s="1" t="str">
        <f>_xlfn.CONCAT(uslugi411[[#This Row],[ozn]:[nr]])</f>
        <v>SRS20AF</v>
      </c>
    </row>
    <row r="321" spans="1:12" x14ac:dyDescent="0.25">
      <c r="A321" s="2" t="s">
        <v>860</v>
      </c>
      <c r="B321" s="3" t="s">
        <v>861</v>
      </c>
      <c r="C321" s="3" t="s">
        <v>861</v>
      </c>
      <c r="D321" s="4" t="s">
        <v>22</v>
      </c>
      <c r="F321">
        <v>1620242236</v>
      </c>
      <c r="G321" s="1" t="s">
        <v>314</v>
      </c>
      <c r="H321" s="1" t="s">
        <v>1401</v>
      </c>
      <c r="I321" s="1" t="s">
        <v>1081</v>
      </c>
      <c r="J321">
        <v>2836</v>
      </c>
      <c r="K321" s="1" t="str">
        <f>VLOOKUP(uslugi411[[#This Row],[NIP]],nip_firm612[],2,FALSE)</f>
        <v>WIET-IND</v>
      </c>
      <c r="L321" s="1" t="str">
        <f>_xlfn.CONCAT(uslugi411[[#This Row],[ozn]:[nr]])</f>
        <v>PN4121F</v>
      </c>
    </row>
    <row r="322" spans="1:12" x14ac:dyDescent="0.25">
      <c r="A322" s="5" t="s">
        <v>862</v>
      </c>
      <c r="B322" s="6" t="s">
        <v>863</v>
      </c>
      <c r="C322" s="6" t="s">
        <v>861</v>
      </c>
      <c r="D322" s="7" t="s">
        <v>7</v>
      </c>
      <c r="F322">
        <v>3318203338</v>
      </c>
      <c r="G322" s="1" t="s">
        <v>708</v>
      </c>
      <c r="H322" s="1" t="s">
        <v>1402</v>
      </c>
      <c r="I322" s="1" t="s">
        <v>1087</v>
      </c>
      <c r="J322">
        <v>2349</v>
      </c>
      <c r="K322" s="1" t="str">
        <f>VLOOKUP(uslugi411[[#This Row],[NIP]],nip_firm612[],2,FALSE)</f>
        <v>LUBLIN1</v>
      </c>
      <c r="L322" s="1" t="str">
        <f>_xlfn.CONCAT(uslugi411[[#This Row],[ozn]:[nr]])</f>
        <v>SRL45QM</v>
      </c>
    </row>
    <row r="323" spans="1:12" x14ac:dyDescent="0.25">
      <c r="A323" s="2" t="s">
        <v>864</v>
      </c>
      <c r="B323" s="3" t="s">
        <v>865</v>
      </c>
      <c r="C323" s="3" t="s">
        <v>866</v>
      </c>
      <c r="D323" s="4" t="s">
        <v>7</v>
      </c>
      <c r="F323">
        <v>3357631311</v>
      </c>
      <c r="G323" s="1" t="s">
        <v>1030</v>
      </c>
      <c r="H323" s="1" t="s">
        <v>1403</v>
      </c>
      <c r="I323" s="1" t="s">
        <v>1087</v>
      </c>
      <c r="J323">
        <v>2870</v>
      </c>
      <c r="K323" s="1" t="str">
        <f>VLOOKUP(uslugi411[[#This Row],[NIP]],nip_firm612[],2,FALSE)</f>
        <v>GAZPOL</v>
      </c>
      <c r="L323" s="1" t="str">
        <f>_xlfn.CONCAT(uslugi411[[#This Row],[ozn]:[nr]])</f>
        <v>LZAH640</v>
      </c>
    </row>
    <row r="324" spans="1:12" x14ac:dyDescent="0.25">
      <c r="A324" s="5" t="s">
        <v>867</v>
      </c>
      <c r="B324" s="6" t="s">
        <v>868</v>
      </c>
      <c r="C324" s="6" t="s">
        <v>868</v>
      </c>
      <c r="D324" s="7" t="s">
        <v>22</v>
      </c>
      <c r="F324">
        <v>4580185570</v>
      </c>
      <c r="G324" s="1" t="s">
        <v>708</v>
      </c>
      <c r="H324" s="1" t="s">
        <v>1404</v>
      </c>
      <c r="I324" s="1" t="s">
        <v>1087</v>
      </c>
      <c r="J324">
        <v>2616</v>
      </c>
      <c r="K324" s="1" t="str">
        <f>VLOOKUP(uslugi411[[#This Row],[NIP]],nip_firm612[],2,FALSE)</f>
        <v>JELORA</v>
      </c>
      <c r="L324" s="1" t="str">
        <f>_xlfn.CONCAT(uslugi411[[#This Row],[ozn]:[nr]])</f>
        <v>SRJH548</v>
      </c>
    </row>
    <row r="325" spans="1:12" x14ac:dyDescent="0.25">
      <c r="A325" s="2" t="s">
        <v>869</v>
      </c>
      <c r="B325" s="3" t="s">
        <v>870</v>
      </c>
      <c r="C325" s="3" t="s">
        <v>868</v>
      </c>
      <c r="D325" s="4" t="s">
        <v>7</v>
      </c>
      <c r="F325">
        <v>6758177505</v>
      </c>
      <c r="G325" s="1" t="s">
        <v>864</v>
      </c>
      <c r="H325" s="1" t="s">
        <v>1405</v>
      </c>
      <c r="I325" s="1" t="s">
        <v>1081</v>
      </c>
      <c r="J325">
        <v>2523</v>
      </c>
      <c r="K325" s="1" t="str">
        <f>VLOOKUP(uslugi411[[#This Row],[NIP]],nip_firm612[],2,FALSE)</f>
        <v>WERTIX</v>
      </c>
      <c r="L325" s="1" t="str">
        <f>_xlfn.CONCAT(uslugi411[[#This Row],[ozn]:[nr]])</f>
        <v>STA534U</v>
      </c>
    </row>
    <row r="326" spans="1:12" x14ac:dyDescent="0.25">
      <c r="A326" s="5" t="s">
        <v>871</v>
      </c>
      <c r="B326" s="6" t="s">
        <v>872</v>
      </c>
      <c r="C326" s="6" t="s">
        <v>873</v>
      </c>
      <c r="D326" s="7" t="s">
        <v>7</v>
      </c>
      <c r="F326">
        <v>3568004264</v>
      </c>
      <c r="G326" s="1" t="s">
        <v>428</v>
      </c>
      <c r="H326" s="1" t="s">
        <v>1406</v>
      </c>
      <c r="I326" s="1" t="s">
        <v>1081</v>
      </c>
      <c r="J326">
        <v>2060</v>
      </c>
      <c r="K326" s="1" t="str">
        <f>VLOOKUP(uslugi411[[#This Row],[NIP]],nip_firm612[],2,FALSE)</f>
        <v>MURATOR</v>
      </c>
      <c r="L326" s="1" t="str">
        <f>_xlfn.CONCAT(uslugi411[[#This Row],[ozn]:[nr]])</f>
        <v>LUBG634</v>
      </c>
    </row>
    <row r="327" spans="1:12" x14ac:dyDescent="0.25">
      <c r="A327" s="2" t="s">
        <v>874</v>
      </c>
      <c r="B327" s="3" t="s">
        <v>875</v>
      </c>
      <c r="C327" s="3" t="s">
        <v>876</v>
      </c>
      <c r="D327" s="4" t="s">
        <v>7</v>
      </c>
      <c r="F327">
        <v>3470453173</v>
      </c>
      <c r="G327" s="1" t="s">
        <v>85</v>
      </c>
      <c r="H327" s="1" t="s">
        <v>1407</v>
      </c>
      <c r="I327" s="1" t="s">
        <v>1087</v>
      </c>
      <c r="J327">
        <v>2151</v>
      </c>
      <c r="K327" s="1" t="str">
        <f>VLOOKUP(uslugi411[[#This Row],[NIP]],nip_firm612[],2,FALSE)</f>
        <v>MASPOL</v>
      </c>
      <c r="L327" s="1" t="str">
        <f>_xlfn.CONCAT(uslugi411[[#This Row],[ozn]:[nr]])</f>
        <v>LC7891Q</v>
      </c>
    </row>
    <row r="328" spans="1:12" x14ac:dyDescent="0.25">
      <c r="A328" s="5" t="s">
        <v>877</v>
      </c>
      <c r="B328" s="6" t="s">
        <v>878</v>
      </c>
      <c r="C328" s="6" t="s">
        <v>879</v>
      </c>
      <c r="D328" s="7" t="s">
        <v>7</v>
      </c>
      <c r="F328">
        <v>3866883575</v>
      </c>
      <c r="G328" s="1" t="s">
        <v>434</v>
      </c>
      <c r="H328" s="1" t="s">
        <v>1408</v>
      </c>
      <c r="I328" s="1" t="s">
        <v>1087</v>
      </c>
      <c r="J328">
        <v>2818</v>
      </c>
      <c r="K328" s="1" t="str">
        <f>VLOOKUP(uslugi411[[#This Row],[NIP]],nip_firm612[],2,FALSE)</f>
        <v>KPICO</v>
      </c>
      <c r="L328" s="1" t="str">
        <f>_xlfn.CONCAT(uslugi411[[#This Row],[ozn]:[nr]])</f>
        <v>LU3591T</v>
      </c>
    </row>
    <row r="329" spans="1:12" x14ac:dyDescent="0.25">
      <c r="A329" s="2" t="s">
        <v>880</v>
      </c>
      <c r="B329" s="3" t="s">
        <v>878</v>
      </c>
      <c r="C329" s="3" t="s">
        <v>881</v>
      </c>
      <c r="D329" s="4" t="s">
        <v>7</v>
      </c>
      <c r="F329">
        <v>1433397952</v>
      </c>
      <c r="G329" s="1" t="s">
        <v>314</v>
      </c>
      <c r="H329" s="1" t="s">
        <v>1409</v>
      </c>
      <c r="I329" s="1" t="s">
        <v>1087</v>
      </c>
      <c r="J329">
        <v>1851</v>
      </c>
      <c r="K329" s="1" t="str">
        <f>VLOOKUP(uslugi411[[#This Row],[NIP]],nip_firm612[],2,FALSE)</f>
        <v>BARTEX</v>
      </c>
      <c r="L329" s="1" t="str">
        <f>_xlfn.CONCAT(uslugi411[[#This Row],[ozn]:[nr]])</f>
        <v>PN3661T</v>
      </c>
    </row>
    <row r="330" spans="1:12" x14ac:dyDescent="0.25">
      <c r="A330" s="5" t="s">
        <v>882</v>
      </c>
      <c r="B330" s="6" t="s">
        <v>883</v>
      </c>
      <c r="C330" s="6" t="s">
        <v>883</v>
      </c>
      <c r="D330" s="7" t="s">
        <v>22</v>
      </c>
      <c r="F330">
        <v>3470453173</v>
      </c>
      <c r="G330" s="1" t="s">
        <v>85</v>
      </c>
      <c r="H330" s="1" t="s">
        <v>1410</v>
      </c>
      <c r="I330" s="1" t="s">
        <v>1081</v>
      </c>
      <c r="J330">
        <v>2062</v>
      </c>
      <c r="K330" s="1" t="str">
        <f>VLOOKUP(uslugi411[[#This Row],[NIP]],nip_firm612[],2,FALSE)</f>
        <v>MASPOL</v>
      </c>
      <c r="L330" s="1" t="str">
        <f>_xlfn.CONCAT(uslugi411[[#This Row],[ozn]:[nr]])</f>
        <v>LC7899B</v>
      </c>
    </row>
    <row r="331" spans="1:12" x14ac:dyDescent="0.25">
      <c r="A331" s="2" t="s">
        <v>884</v>
      </c>
      <c r="B331" s="3" t="s">
        <v>885</v>
      </c>
      <c r="C331" s="3" t="s">
        <v>883</v>
      </c>
      <c r="D331" s="4" t="s">
        <v>7</v>
      </c>
      <c r="F331">
        <v>6758177505</v>
      </c>
      <c r="G331" s="1" t="s">
        <v>864</v>
      </c>
      <c r="H331" s="1" t="s">
        <v>1411</v>
      </c>
      <c r="I331" s="1" t="s">
        <v>1087</v>
      </c>
      <c r="J331">
        <v>2258</v>
      </c>
      <c r="K331" s="1" t="str">
        <f>VLOOKUP(uslugi411[[#This Row],[NIP]],nip_firm612[],2,FALSE)</f>
        <v>WERTIX</v>
      </c>
      <c r="L331" s="1" t="str">
        <f>_xlfn.CONCAT(uslugi411[[#This Row],[ozn]:[nr]])</f>
        <v>STA457K</v>
      </c>
    </row>
    <row r="332" spans="1:12" x14ac:dyDescent="0.25">
      <c r="A332" s="5" t="s">
        <v>886</v>
      </c>
      <c r="B332" s="6" t="s">
        <v>887</v>
      </c>
      <c r="C332" s="6" t="s">
        <v>888</v>
      </c>
      <c r="D332" s="7" t="s">
        <v>7</v>
      </c>
      <c r="F332">
        <v>5266741491</v>
      </c>
      <c r="G332" s="1" t="s">
        <v>708</v>
      </c>
      <c r="H332" s="1" t="s">
        <v>1412</v>
      </c>
      <c r="I332" s="1" t="s">
        <v>1087</v>
      </c>
      <c r="J332">
        <v>1774</v>
      </c>
      <c r="K332" s="1" t="str">
        <f>VLOOKUP(uslugi411[[#This Row],[NIP]],nip_firm612[],2,FALSE)</f>
        <v>PIEKAR</v>
      </c>
      <c r="L332" s="1" t="str">
        <f>_xlfn.CONCAT(uslugi411[[#This Row],[ozn]:[nr]])</f>
        <v>SRP46ZH</v>
      </c>
    </row>
    <row r="333" spans="1:12" x14ac:dyDescent="0.25">
      <c r="A333" s="2" t="s">
        <v>889</v>
      </c>
      <c r="B333" s="3" t="s">
        <v>890</v>
      </c>
      <c r="C333" s="3" t="s">
        <v>891</v>
      </c>
      <c r="D333" s="4" t="s">
        <v>7</v>
      </c>
      <c r="F333">
        <v>2214740049</v>
      </c>
      <c r="G333" s="1" t="s">
        <v>56</v>
      </c>
      <c r="H333" s="1" t="s">
        <v>1413</v>
      </c>
      <c r="I333" s="1" t="s">
        <v>1087</v>
      </c>
      <c r="J333">
        <v>2066</v>
      </c>
      <c r="K333" s="1" t="str">
        <f>VLOOKUP(uslugi411[[#This Row],[NIP]],nip_firm612[],2,FALSE)</f>
        <v>SZPULTEX</v>
      </c>
      <c r="L333" s="1" t="str">
        <f>_xlfn.CONCAT(uslugi411[[#This Row],[ozn]:[nr]])</f>
        <v>NBRX708</v>
      </c>
    </row>
    <row r="334" spans="1:12" x14ac:dyDescent="0.25">
      <c r="A334" s="5" t="s">
        <v>892</v>
      </c>
      <c r="B334" s="6" t="s">
        <v>893</v>
      </c>
      <c r="C334" s="6" t="s">
        <v>894</v>
      </c>
      <c r="D334" s="7" t="s">
        <v>7</v>
      </c>
      <c r="F334">
        <v>1433397952</v>
      </c>
      <c r="G334" s="1" t="s">
        <v>314</v>
      </c>
      <c r="H334" s="1" t="s">
        <v>1414</v>
      </c>
      <c r="I334" s="1" t="s">
        <v>1087</v>
      </c>
      <c r="J334">
        <v>1626</v>
      </c>
      <c r="K334" s="1" t="str">
        <f>VLOOKUP(uslugi411[[#This Row],[NIP]],nip_firm612[],2,FALSE)</f>
        <v>BARTEX</v>
      </c>
      <c r="L334" s="1" t="str">
        <f>_xlfn.CONCAT(uslugi411[[#This Row],[ozn]:[nr]])</f>
        <v>PN16826</v>
      </c>
    </row>
    <row r="335" spans="1:12" x14ac:dyDescent="0.25">
      <c r="A335" s="2" t="s">
        <v>895</v>
      </c>
      <c r="B335" s="3" t="s">
        <v>896</v>
      </c>
      <c r="C335" s="3" t="s">
        <v>896</v>
      </c>
      <c r="D335" s="4" t="s">
        <v>22</v>
      </c>
      <c r="F335">
        <v>4326751508</v>
      </c>
      <c r="G335" s="1" t="s">
        <v>255</v>
      </c>
      <c r="H335" s="1" t="s">
        <v>1415</v>
      </c>
      <c r="I335" s="1" t="s">
        <v>1087</v>
      </c>
      <c r="J335">
        <v>1601</v>
      </c>
      <c r="K335" s="1" t="str">
        <f>VLOOKUP(uslugi411[[#This Row],[NIP]],nip_firm612[],2,FALSE)</f>
        <v>WROCBUD2</v>
      </c>
      <c r="L335" s="1" t="str">
        <f>_xlfn.CONCAT(uslugi411[[#This Row],[ozn]:[nr]])</f>
        <v>DJE46467</v>
      </c>
    </row>
    <row r="336" spans="1:12" x14ac:dyDescent="0.25">
      <c r="A336" s="5" t="s">
        <v>897</v>
      </c>
      <c r="B336" s="6" t="s">
        <v>898</v>
      </c>
      <c r="C336" s="6" t="s">
        <v>896</v>
      </c>
      <c r="D336" s="7" t="s">
        <v>7</v>
      </c>
      <c r="F336">
        <v>1433397952</v>
      </c>
      <c r="G336" s="1" t="s">
        <v>314</v>
      </c>
      <c r="H336" s="1" t="s">
        <v>1416</v>
      </c>
      <c r="I336" s="1" t="s">
        <v>1087</v>
      </c>
      <c r="J336">
        <v>2865</v>
      </c>
      <c r="K336" s="1" t="str">
        <f>VLOOKUP(uslugi411[[#This Row],[NIP]],nip_firm612[],2,FALSE)</f>
        <v>BARTEX</v>
      </c>
      <c r="L336" s="1" t="str">
        <f>_xlfn.CONCAT(uslugi411[[#This Row],[ozn]:[nr]])</f>
        <v>PN16824</v>
      </c>
    </row>
    <row r="337" spans="1:12" x14ac:dyDescent="0.25">
      <c r="A337" s="2" t="s">
        <v>899</v>
      </c>
      <c r="B337" s="3" t="s">
        <v>900</v>
      </c>
      <c r="C337" s="3" t="s">
        <v>901</v>
      </c>
      <c r="D337" s="4" t="s">
        <v>7</v>
      </c>
      <c r="F337">
        <v>2281651150</v>
      </c>
      <c r="G337" s="1" t="s">
        <v>552</v>
      </c>
      <c r="H337" s="1" t="s">
        <v>1417</v>
      </c>
      <c r="I337" s="1" t="s">
        <v>1081</v>
      </c>
      <c r="J337">
        <v>2136</v>
      </c>
      <c r="K337" s="1" t="str">
        <f>VLOOKUP(uslugi411[[#This Row],[NIP]],nip_firm612[],2,FALSE)</f>
        <v>MAZUTEX</v>
      </c>
      <c r="L337" s="1" t="str">
        <f>_xlfn.CONCAT(uslugi411[[#This Row],[ozn]:[nr]])</f>
        <v>NOLJ646</v>
      </c>
    </row>
    <row r="338" spans="1:12" x14ac:dyDescent="0.25">
      <c r="A338" s="5" t="s">
        <v>902</v>
      </c>
      <c r="B338" s="6" t="s">
        <v>903</v>
      </c>
      <c r="C338" s="6" t="s">
        <v>904</v>
      </c>
      <c r="D338" s="7" t="s">
        <v>7</v>
      </c>
      <c r="F338">
        <v>5581610439</v>
      </c>
      <c r="G338" s="1" t="s">
        <v>602</v>
      </c>
      <c r="H338" s="1" t="s">
        <v>1418</v>
      </c>
      <c r="I338" s="1" t="s">
        <v>1087</v>
      </c>
      <c r="J338">
        <v>2316</v>
      </c>
      <c r="K338" s="1" t="str">
        <f>VLOOKUP(uslugi411[[#This Row],[NIP]],nip_firm612[],2,FALSE)</f>
        <v>JUSTPOL</v>
      </c>
      <c r="L338" s="1" t="str">
        <f>_xlfn.CONCAT(uslugi411[[#This Row],[ozn]:[nr]])</f>
        <v>SPIO750</v>
      </c>
    </row>
    <row r="339" spans="1:12" x14ac:dyDescent="0.25">
      <c r="A339" s="2" t="s">
        <v>905</v>
      </c>
      <c r="B339" s="3" t="s">
        <v>906</v>
      </c>
      <c r="C339" s="3" t="s">
        <v>907</v>
      </c>
      <c r="D339" s="4" t="s">
        <v>7</v>
      </c>
    </row>
    <row r="340" spans="1:12" x14ac:dyDescent="0.25">
      <c r="A340" s="5" t="s">
        <v>908</v>
      </c>
      <c r="B340" s="6" t="s">
        <v>909</v>
      </c>
      <c r="C340" s="6" t="s">
        <v>909</v>
      </c>
      <c r="D340" s="7" t="s">
        <v>22</v>
      </c>
    </row>
    <row r="341" spans="1:12" x14ac:dyDescent="0.25">
      <c r="A341" s="2" t="s">
        <v>910</v>
      </c>
      <c r="B341" s="3" t="s">
        <v>911</v>
      </c>
      <c r="C341" s="3" t="s">
        <v>909</v>
      </c>
      <c r="D341" s="4" t="s">
        <v>7</v>
      </c>
    </row>
    <row r="342" spans="1:12" x14ac:dyDescent="0.25">
      <c r="A342" s="5" t="s">
        <v>912</v>
      </c>
      <c r="B342" s="6" t="s">
        <v>913</v>
      </c>
      <c r="C342" s="6" t="s">
        <v>914</v>
      </c>
      <c r="D342" s="7" t="s">
        <v>7</v>
      </c>
    </row>
    <row r="343" spans="1:12" x14ac:dyDescent="0.25">
      <c r="A343" s="2" t="s">
        <v>915</v>
      </c>
      <c r="B343" s="3" t="s">
        <v>916</v>
      </c>
      <c r="C343" s="3" t="s">
        <v>917</v>
      </c>
      <c r="D343" s="4" t="s">
        <v>918</v>
      </c>
    </row>
    <row r="344" spans="1:12" x14ac:dyDescent="0.25">
      <c r="A344" s="5" t="s">
        <v>919</v>
      </c>
      <c r="B344" s="6" t="s">
        <v>916</v>
      </c>
      <c r="C344" s="6" t="s">
        <v>920</v>
      </c>
      <c r="D344" s="7" t="s">
        <v>918</v>
      </c>
    </row>
    <row r="345" spans="1:12" x14ac:dyDescent="0.25">
      <c r="A345" s="2" t="s">
        <v>921</v>
      </c>
      <c r="B345" s="3" t="s">
        <v>916</v>
      </c>
      <c r="C345" s="3" t="s">
        <v>922</v>
      </c>
      <c r="D345" s="4" t="s">
        <v>918</v>
      </c>
    </row>
    <row r="346" spans="1:12" x14ac:dyDescent="0.25">
      <c r="A346" s="5" t="s">
        <v>923</v>
      </c>
      <c r="B346" s="6" t="s">
        <v>916</v>
      </c>
      <c r="C346" s="6" t="s">
        <v>924</v>
      </c>
      <c r="D346" s="7" t="s">
        <v>918</v>
      </c>
    </row>
    <row r="347" spans="1:12" x14ac:dyDescent="0.25">
      <c r="A347" s="2" t="s">
        <v>925</v>
      </c>
      <c r="B347" s="3" t="s">
        <v>916</v>
      </c>
      <c r="C347" s="3" t="s">
        <v>926</v>
      </c>
      <c r="D347" s="4" t="s">
        <v>918</v>
      </c>
    </row>
    <row r="348" spans="1:12" x14ac:dyDescent="0.25">
      <c r="A348" s="5" t="s">
        <v>927</v>
      </c>
      <c r="B348" s="6" t="s">
        <v>916</v>
      </c>
      <c r="C348" s="6" t="s">
        <v>928</v>
      </c>
      <c r="D348" s="7" t="s">
        <v>918</v>
      </c>
    </row>
    <row r="349" spans="1:12" x14ac:dyDescent="0.25">
      <c r="A349" s="2" t="s">
        <v>929</v>
      </c>
      <c r="B349" s="3" t="s">
        <v>916</v>
      </c>
      <c r="C349" s="3" t="s">
        <v>930</v>
      </c>
      <c r="D349" s="4" t="s">
        <v>918</v>
      </c>
    </row>
    <row r="350" spans="1:12" x14ac:dyDescent="0.25">
      <c r="A350" s="5" t="s">
        <v>931</v>
      </c>
      <c r="B350" s="6" t="s">
        <v>916</v>
      </c>
      <c r="C350" s="6" t="s">
        <v>932</v>
      </c>
      <c r="D350" s="7" t="s">
        <v>918</v>
      </c>
    </row>
    <row r="351" spans="1:12" x14ac:dyDescent="0.25">
      <c r="A351" s="2" t="s">
        <v>933</v>
      </c>
      <c r="B351" s="3" t="s">
        <v>916</v>
      </c>
      <c r="C351" s="3" t="s">
        <v>934</v>
      </c>
      <c r="D351" s="4" t="s">
        <v>918</v>
      </c>
    </row>
    <row r="352" spans="1:12" x14ac:dyDescent="0.25">
      <c r="A352" s="5" t="s">
        <v>935</v>
      </c>
      <c r="B352" s="6" t="s">
        <v>916</v>
      </c>
      <c r="C352" s="6" t="s">
        <v>936</v>
      </c>
      <c r="D352" s="7" t="s">
        <v>918</v>
      </c>
    </row>
    <row r="353" spans="1:4" x14ac:dyDescent="0.25">
      <c r="A353" s="2" t="s">
        <v>937</v>
      </c>
      <c r="B353" s="3" t="s">
        <v>916</v>
      </c>
      <c r="C353" s="3" t="s">
        <v>938</v>
      </c>
      <c r="D353" s="4" t="s">
        <v>918</v>
      </c>
    </row>
    <row r="354" spans="1:4" x14ac:dyDescent="0.25">
      <c r="A354" s="5" t="s">
        <v>939</v>
      </c>
      <c r="B354" s="6" t="s">
        <v>916</v>
      </c>
      <c r="C354" s="6" t="s">
        <v>940</v>
      </c>
      <c r="D354" s="7" t="s">
        <v>918</v>
      </c>
    </row>
    <row r="355" spans="1:4" x14ac:dyDescent="0.25">
      <c r="A355" s="2" t="s">
        <v>941</v>
      </c>
      <c r="B355" s="3" t="s">
        <v>916</v>
      </c>
      <c r="C355" s="3" t="s">
        <v>942</v>
      </c>
      <c r="D355" s="4" t="s">
        <v>918</v>
      </c>
    </row>
    <row r="356" spans="1:4" x14ac:dyDescent="0.25">
      <c r="A356" s="5" t="s">
        <v>943</v>
      </c>
      <c r="B356" s="6" t="s">
        <v>916</v>
      </c>
      <c r="C356" s="6" t="s">
        <v>944</v>
      </c>
      <c r="D356" s="7" t="s">
        <v>918</v>
      </c>
    </row>
    <row r="357" spans="1:4" x14ac:dyDescent="0.25">
      <c r="A357" s="2" t="s">
        <v>945</v>
      </c>
      <c r="B357" s="3" t="s">
        <v>916</v>
      </c>
      <c r="C357" s="3" t="s">
        <v>944</v>
      </c>
      <c r="D357" s="4" t="s">
        <v>918</v>
      </c>
    </row>
    <row r="358" spans="1:4" x14ac:dyDescent="0.25">
      <c r="A358" s="5" t="s">
        <v>946</v>
      </c>
      <c r="B358" s="6" t="s">
        <v>916</v>
      </c>
      <c r="C358" s="6" t="s">
        <v>944</v>
      </c>
      <c r="D358" s="7" t="s">
        <v>918</v>
      </c>
    </row>
    <row r="359" spans="1:4" x14ac:dyDescent="0.25">
      <c r="A359" s="2" t="s">
        <v>947</v>
      </c>
      <c r="B359" s="3" t="s">
        <v>916</v>
      </c>
      <c r="C359" s="3" t="s">
        <v>944</v>
      </c>
      <c r="D359" s="4" t="s">
        <v>918</v>
      </c>
    </row>
    <row r="360" spans="1:4" x14ac:dyDescent="0.25">
      <c r="A360" s="5" t="s">
        <v>948</v>
      </c>
      <c r="B360" s="6" t="s">
        <v>916</v>
      </c>
      <c r="C360" s="6" t="s">
        <v>949</v>
      </c>
      <c r="D360" s="7" t="s">
        <v>918</v>
      </c>
    </row>
    <row r="361" spans="1:4" x14ac:dyDescent="0.25">
      <c r="A361" s="2" t="s">
        <v>950</v>
      </c>
      <c r="B361" s="3" t="s">
        <v>916</v>
      </c>
      <c r="C361" s="3" t="s">
        <v>949</v>
      </c>
      <c r="D361" s="4" t="s">
        <v>918</v>
      </c>
    </row>
    <row r="362" spans="1:4" x14ac:dyDescent="0.25">
      <c r="A362" s="5" t="s">
        <v>951</v>
      </c>
      <c r="B362" s="6" t="s">
        <v>916</v>
      </c>
      <c r="C362" s="6" t="s">
        <v>949</v>
      </c>
      <c r="D362" s="7" t="s">
        <v>918</v>
      </c>
    </row>
    <row r="363" spans="1:4" x14ac:dyDescent="0.25">
      <c r="A363" s="2" t="s">
        <v>952</v>
      </c>
      <c r="B363" s="3" t="s">
        <v>916</v>
      </c>
      <c r="C363" s="3" t="s">
        <v>949</v>
      </c>
      <c r="D363" s="4" t="s">
        <v>918</v>
      </c>
    </row>
    <row r="364" spans="1:4" x14ac:dyDescent="0.25">
      <c r="A364" s="5" t="s">
        <v>953</v>
      </c>
      <c r="B364" s="6" t="s">
        <v>916</v>
      </c>
      <c r="C364" s="6" t="s">
        <v>949</v>
      </c>
      <c r="D364" s="7" t="s">
        <v>918</v>
      </c>
    </row>
    <row r="365" spans="1:4" x14ac:dyDescent="0.25">
      <c r="A365" s="2" t="s">
        <v>954</v>
      </c>
      <c r="B365" s="3" t="s">
        <v>916</v>
      </c>
      <c r="C365" s="3" t="s">
        <v>949</v>
      </c>
      <c r="D365" s="4" t="s">
        <v>918</v>
      </c>
    </row>
    <row r="366" spans="1:4" x14ac:dyDescent="0.25">
      <c r="A366" s="5" t="s">
        <v>955</v>
      </c>
      <c r="B366" s="6" t="s">
        <v>916</v>
      </c>
      <c r="C366" s="6" t="s">
        <v>949</v>
      </c>
      <c r="D366" s="7" t="s">
        <v>918</v>
      </c>
    </row>
    <row r="367" spans="1:4" x14ac:dyDescent="0.25">
      <c r="A367" s="2" t="s">
        <v>956</v>
      </c>
      <c r="B367" s="3" t="s">
        <v>916</v>
      </c>
      <c r="C367" s="3" t="s">
        <v>957</v>
      </c>
      <c r="D367" s="4" t="s">
        <v>918</v>
      </c>
    </row>
    <row r="368" spans="1:4" x14ac:dyDescent="0.25">
      <c r="A368" s="5" t="s">
        <v>958</v>
      </c>
      <c r="B368" s="6" t="s">
        <v>916</v>
      </c>
      <c r="C368" s="6" t="s">
        <v>959</v>
      </c>
      <c r="D368" s="7" t="s">
        <v>918</v>
      </c>
    </row>
    <row r="369" spans="1:4" x14ac:dyDescent="0.25">
      <c r="A369" s="2" t="s">
        <v>960</v>
      </c>
      <c r="B369" s="3" t="s">
        <v>961</v>
      </c>
      <c r="C369" s="3" t="s">
        <v>962</v>
      </c>
      <c r="D369" s="4" t="s">
        <v>7</v>
      </c>
    </row>
    <row r="370" spans="1:4" x14ac:dyDescent="0.25">
      <c r="A370" s="5" t="s">
        <v>963</v>
      </c>
      <c r="B370" s="6" t="s">
        <v>964</v>
      </c>
      <c r="C370" s="6" t="s">
        <v>965</v>
      </c>
      <c r="D370" s="7" t="s">
        <v>7</v>
      </c>
    </row>
    <row r="371" spans="1:4" x14ac:dyDescent="0.25">
      <c r="A371" s="2" t="s">
        <v>966</v>
      </c>
      <c r="B371" s="3" t="s">
        <v>967</v>
      </c>
      <c r="C371" s="3" t="s">
        <v>968</v>
      </c>
      <c r="D371" s="4" t="s">
        <v>7</v>
      </c>
    </row>
    <row r="372" spans="1:4" x14ac:dyDescent="0.25">
      <c r="A372" s="5" t="s">
        <v>969</v>
      </c>
      <c r="B372" s="6" t="s">
        <v>970</v>
      </c>
      <c r="C372" s="6" t="s">
        <v>971</v>
      </c>
      <c r="D372" s="7" t="s">
        <v>7</v>
      </c>
    </row>
    <row r="373" spans="1:4" x14ac:dyDescent="0.25">
      <c r="A373" s="2" t="s">
        <v>972</v>
      </c>
      <c r="B373" s="3" t="s">
        <v>973</v>
      </c>
      <c r="C373" s="3" t="s">
        <v>974</v>
      </c>
      <c r="D373" s="4" t="s">
        <v>7</v>
      </c>
    </row>
    <row r="374" spans="1:4" x14ac:dyDescent="0.25">
      <c r="A374" s="5" t="s">
        <v>975</v>
      </c>
      <c r="B374" s="6" t="s">
        <v>976</v>
      </c>
      <c r="C374" s="6" t="s">
        <v>977</v>
      </c>
      <c r="D374" s="7" t="s">
        <v>7</v>
      </c>
    </row>
    <row r="375" spans="1:4" x14ac:dyDescent="0.25">
      <c r="A375" s="2" t="s">
        <v>978</v>
      </c>
      <c r="B375" s="3" t="s">
        <v>979</v>
      </c>
      <c r="C375" s="3" t="s">
        <v>980</v>
      </c>
      <c r="D375" s="4" t="s">
        <v>7</v>
      </c>
    </row>
    <row r="376" spans="1:4" x14ac:dyDescent="0.25">
      <c r="A376" s="5" t="s">
        <v>981</v>
      </c>
      <c r="B376" s="6" t="s">
        <v>982</v>
      </c>
      <c r="C376" s="6" t="s">
        <v>982</v>
      </c>
      <c r="D376" s="7" t="s">
        <v>22</v>
      </c>
    </row>
    <row r="377" spans="1:4" x14ac:dyDescent="0.25">
      <c r="A377" s="2" t="s">
        <v>983</v>
      </c>
      <c r="B377" s="3" t="s">
        <v>984</v>
      </c>
      <c r="C377" s="3" t="s">
        <v>982</v>
      </c>
      <c r="D377" s="4" t="s">
        <v>7</v>
      </c>
    </row>
    <row r="378" spans="1:4" x14ac:dyDescent="0.25">
      <c r="A378" s="5" t="s">
        <v>985</v>
      </c>
      <c r="B378" s="6" t="s">
        <v>986</v>
      </c>
      <c r="C378" s="6" t="s">
        <v>987</v>
      </c>
      <c r="D378" s="7" t="s">
        <v>7</v>
      </c>
    </row>
    <row r="379" spans="1:4" x14ac:dyDescent="0.25">
      <c r="A379" s="2" t="s">
        <v>988</v>
      </c>
      <c r="B379" s="3" t="s">
        <v>989</v>
      </c>
      <c r="C379" s="3" t="s">
        <v>990</v>
      </c>
      <c r="D379" s="4" t="s">
        <v>7</v>
      </c>
    </row>
    <row r="380" spans="1:4" x14ac:dyDescent="0.25">
      <c r="A380" s="5" t="s">
        <v>991</v>
      </c>
      <c r="B380" s="6" t="s">
        <v>992</v>
      </c>
      <c r="C380" s="6" t="s">
        <v>993</v>
      </c>
      <c r="D380" s="7" t="s">
        <v>7</v>
      </c>
    </row>
    <row r="381" spans="1:4" x14ac:dyDescent="0.25">
      <c r="A381" s="2" t="s">
        <v>994</v>
      </c>
      <c r="B381" s="3" t="s">
        <v>995</v>
      </c>
      <c r="C381" s="3" t="s">
        <v>996</v>
      </c>
      <c r="D381" s="4" t="s">
        <v>7</v>
      </c>
    </row>
    <row r="382" spans="1:4" x14ac:dyDescent="0.25">
      <c r="A382" s="5" t="s">
        <v>997</v>
      </c>
      <c r="B382" s="6" t="s">
        <v>998</v>
      </c>
      <c r="C382" s="6" t="s">
        <v>999</v>
      </c>
      <c r="D382" s="7" t="s">
        <v>7</v>
      </c>
    </row>
    <row r="383" spans="1:4" x14ac:dyDescent="0.25">
      <c r="A383" s="2" t="s">
        <v>1000</v>
      </c>
      <c r="B383" s="3" t="s">
        <v>1001</v>
      </c>
      <c r="C383" s="3" t="s">
        <v>1002</v>
      </c>
      <c r="D383" s="4" t="s">
        <v>7</v>
      </c>
    </row>
    <row r="384" spans="1:4" x14ac:dyDescent="0.25">
      <c r="A384" s="5" t="s">
        <v>1003</v>
      </c>
      <c r="B384" s="6" t="s">
        <v>1004</v>
      </c>
      <c r="C384" s="6" t="s">
        <v>1004</v>
      </c>
      <c r="D384" s="7" t="s">
        <v>22</v>
      </c>
    </row>
    <row r="385" spans="1:4" x14ac:dyDescent="0.25">
      <c r="A385" s="2" t="s">
        <v>1005</v>
      </c>
      <c r="B385" s="3" t="s">
        <v>1006</v>
      </c>
      <c r="C385" s="3" t="s">
        <v>1004</v>
      </c>
      <c r="D385" s="4" t="s">
        <v>7</v>
      </c>
    </row>
    <row r="386" spans="1:4" x14ac:dyDescent="0.25">
      <c r="A386" s="5" t="s">
        <v>1007</v>
      </c>
      <c r="B386" s="6" t="s">
        <v>1008</v>
      </c>
      <c r="C386" s="6" t="s">
        <v>1009</v>
      </c>
      <c r="D386" s="7" t="s">
        <v>7</v>
      </c>
    </row>
    <row r="387" spans="1:4" x14ac:dyDescent="0.25">
      <c r="A387" s="2" t="s">
        <v>1010</v>
      </c>
      <c r="B387" s="3" t="s">
        <v>1011</v>
      </c>
      <c r="C387" s="3" t="s">
        <v>1012</v>
      </c>
      <c r="D387" s="4" t="s">
        <v>7</v>
      </c>
    </row>
    <row r="388" spans="1:4" x14ac:dyDescent="0.25">
      <c r="A388" s="5" t="s">
        <v>1013</v>
      </c>
      <c r="B388" s="6" t="s">
        <v>1014</v>
      </c>
      <c r="C388" s="6" t="s">
        <v>1015</v>
      </c>
      <c r="D388" s="7" t="s">
        <v>7</v>
      </c>
    </row>
    <row r="389" spans="1:4" x14ac:dyDescent="0.25">
      <c r="A389" s="2" t="s">
        <v>1016</v>
      </c>
      <c r="B389" s="3" t="s">
        <v>1017</v>
      </c>
      <c r="C389" s="3" t="s">
        <v>1018</v>
      </c>
      <c r="D389" s="4" t="s">
        <v>7</v>
      </c>
    </row>
    <row r="390" spans="1:4" x14ac:dyDescent="0.25">
      <c r="A390" s="5" t="s">
        <v>1019</v>
      </c>
      <c r="B390" s="6" t="s">
        <v>1020</v>
      </c>
      <c r="C390" s="6" t="s">
        <v>1021</v>
      </c>
      <c r="D390" s="7" t="s">
        <v>7</v>
      </c>
    </row>
    <row r="391" spans="1:4" x14ac:dyDescent="0.25">
      <c r="A391" s="2" t="s">
        <v>1022</v>
      </c>
      <c r="B391" s="3" t="s">
        <v>1023</v>
      </c>
      <c r="C391" s="3" t="s">
        <v>1023</v>
      </c>
      <c r="D391" s="4" t="s">
        <v>22</v>
      </c>
    </row>
    <row r="392" spans="1:4" x14ac:dyDescent="0.25">
      <c r="A392" s="5" t="s">
        <v>1024</v>
      </c>
      <c r="B392" s="6" t="s">
        <v>1025</v>
      </c>
      <c r="C392" s="6" t="s">
        <v>1026</v>
      </c>
      <c r="D392" s="7" t="s">
        <v>7</v>
      </c>
    </row>
    <row r="393" spans="1:4" x14ac:dyDescent="0.25">
      <c r="A393" s="2" t="s">
        <v>1027</v>
      </c>
      <c r="B393" s="3" t="s">
        <v>1028</v>
      </c>
      <c r="C393" s="3" t="s">
        <v>1029</v>
      </c>
      <c r="D393" s="4" t="s">
        <v>7</v>
      </c>
    </row>
    <row r="394" spans="1:4" x14ac:dyDescent="0.25">
      <c r="A394" s="5" t="s">
        <v>1030</v>
      </c>
      <c r="B394" s="6" t="s">
        <v>1031</v>
      </c>
      <c r="C394" s="6" t="s">
        <v>1032</v>
      </c>
      <c r="D394" s="7" t="s">
        <v>7</v>
      </c>
    </row>
    <row r="395" spans="1:4" x14ac:dyDescent="0.25">
      <c r="A395" s="2" t="s">
        <v>1033</v>
      </c>
      <c r="B395" s="3" t="s">
        <v>1032</v>
      </c>
      <c r="C395" s="3" t="s">
        <v>1032</v>
      </c>
      <c r="D395" s="4" t="s">
        <v>22</v>
      </c>
    </row>
    <row r="396" spans="1:4" x14ac:dyDescent="0.25">
      <c r="A396" s="5" t="s">
        <v>1034</v>
      </c>
      <c r="B396" s="6" t="s">
        <v>1035</v>
      </c>
      <c r="C396" s="6" t="s">
        <v>1036</v>
      </c>
      <c r="D396" s="7" t="s">
        <v>7</v>
      </c>
    </row>
    <row r="397" spans="1:4" x14ac:dyDescent="0.25">
      <c r="A397" s="2" t="s">
        <v>1037</v>
      </c>
      <c r="B397" s="3" t="s">
        <v>1038</v>
      </c>
      <c r="C397" s="3" t="s">
        <v>1039</v>
      </c>
      <c r="D397" s="4" t="s">
        <v>7</v>
      </c>
    </row>
    <row r="398" spans="1:4" x14ac:dyDescent="0.25">
      <c r="A398" s="5" t="s">
        <v>1040</v>
      </c>
      <c r="B398" s="6" t="s">
        <v>1041</v>
      </c>
      <c r="C398" s="6" t="s">
        <v>1042</v>
      </c>
      <c r="D398" s="7" t="s">
        <v>7</v>
      </c>
    </row>
    <row r="399" spans="1:4" x14ac:dyDescent="0.25">
      <c r="A399" s="2" t="s">
        <v>1043</v>
      </c>
      <c r="B399" s="3" t="s">
        <v>1044</v>
      </c>
      <c r="C399" s="3" t="s">
        <v>1045</v>
      </c>
      <c r="D399" s="4" t="s">
        <v>7</v>
      </c>
    </row>
    <row r="400" spans="1:4" x14ac:dyDescent="0.25">
      <c r="A400" s="5" t="s">
        <v>1046</v>
      </c>
      <c r="B400" s="6" t="s">
        <v>1047</v>
      </c>
      <c r="C400" s="6" t="s">
        <v>1048</v>
      </c>
      <c r="D400" s="7" t="s">
        <v>7</v>
      </c>
    </row>
    <row r="401" spans="1:4" x14ac:dyDescent="0.25">
      <c r="A401" s="2" t="s">
        <v>1049</v>
      </c>
      <c r="B401" s="3" t="s">
        <v>1050</v>
      </c>
      <c r="C401" s="3" t="s">
        <v>1050</v>
      </c>
      <c r="D401" s="4" t="s">
        <v>22</v>
      </c>
    </row>
    <row r="402" spans="1:4" x14ac:dyDescent="0.25">
      <c r="A402" s="5" t="s">
        <v>1051</v>
      </c>
      <c r="B402" s="6" t="s">
        <v>1052</v>
      </c>
      <c r="C402" s="6" t="s">
        <v>1050</v>
      </c>
      <c r="D402" s="7" t="s">
        <v>7</v>
      </c>
    </row>
    <row r="403" spans="1:4" x14ac:dyDescent="0.25">
      <c r="A403" s="2" t="s">
        <v>1053</v>
      </c>
      <c r="B403" s="3" t="s">
        <v>1054</v>
      </c>
      <c r="C403" s="3" t="s">
        <v>1055</v>
      </c>
      <c r="D403" s="4" t="s">
        <v>7</v>
      </c>
    </row>
    <row r="404" spans="1:4" x14ac:dyDescent="0.25">
      <c r="A404" s="5" t="s">
        <v>1056</v>
      </c>
      <c r="B404" s="6" t="s">
        <v>1057</v>
      </c>
      <c r="C404" s="6" t="s">
        <v>1058</v>
      </c>
      <c r="D404" s="7" t="s">
        <v>7</v>
      </c>
    </row>
    <row r="405" spans="1:4" x14ac:dyDescent="0.25">
      <c r="A405" s="2" t="s">
        <v>1059</v>
      </c>
      <c r="B405" s="3" t="s">
        <v>1060</v>
      </c>
      <c r="C405" s="3" t="s">
        <v>1061</v>
      </c>
      <c r="D405" s="4" t="s">
        <v>7</v>
      </c>
    </row>
    <row r="406" spans="1:4" x14ac:dyDescent="0.25">
      <c r="A406" s="5" t="s">
        <v>1062</v>
      </c>
      <c r="B406" s="6" t="s">
        <v>1063</v>
      </c>
      <c r="C406" s="6" t="s">
        <v>1063</v>
      </c>
      <c r="D406" s="7" t="s">
        <v>22</v>
      </c>
    </row>
    <row r="407" spans="1:4" x14ac:dyDescent="0.25">
      <c r="A407" s="2" t="s">
        <v>1064</v>
      </c>
      <c r="B407" s="3" t="s">
        <v>1065</v>
      </c>
      <c r="C407" s="3" t="s">
        <v>1066</v>
      </c>
      <c r="D407" s="4" t="s">
        <v>7</v>
      </c>
    </row>
    <row r="408" spans="1:4" x14ac:dyDescent="0.25">
      <c r="A408" s="5" t="s">
        <v>1067</v>
      </c>
      <c r="B408" s="6" t="s">
        <v>1068</v>
      </c>
      <c r="C408" s="6" t="s">
        <v>1069</v>
      </c>
      <c r="D408" s="7" t="s">
        <v>7</v>
      </c>
    </row>
    <row r="409" spans="1:4" x14ac:dyDescent="0.25">
      <c r="A409" s="2" t="s">
        <v>1070</v>
      </c>
      <c r="B409" s="3" t="s">
        <v>1071</v>
      </c>
      <c r="C409" s="3" t="s">
        <v>1072</v>
      </c>
      <c r="D409" s="4" t="s">
        <v>7</v>
      </c>
    </row>
    <row r="410" spans="1:4" x14ac:dyDescent="0.25">
      <c r="A410" s="5" t="s">
        <v>1073</v>
      </c>
      <c r="B410" s="6" t="s">
        <v>1074</v>
      </c>
      <c r="C410" s="6" t="s">
        <v>1075</v>
      </c>
      <c r="D410" s="7" t="s">
        <v>7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6DC7-E732-4236-8062-C3C3D6EA35F1}">
  <dimension ref="A1:V410"/>
  <sheetViews>
    <sheetView tabSelected="1" topLeftCell="F1" workbookViewId="0">
      <selection activeCell="V10" sqref="V10"/>
    </sheetView>
  </sheetViews>
  <sheetFormatPr defaultRowHeight="15" x14ac:dyDescent="0.25"/>
  <cols>
    <col min="1" max="1" width="8.28515625" bestFit="1" customWidth="1"/>
    <col min="2" max="3" width="22.85546875" bestFit="1" customWidth="1"/>
    <col min="4" max="4" width="6.42578125" bestFit="1" customWidth="1"/>
    <col min="6" max="6" width="11" bestFit="1" customWidth="1"/>
    <col min="7" max="7" width="6.42578125" bestFit="1" customWidth="1"/>
    <col min="8" max="8" width="7.5703125" bestFit="1" customWidth="1"/>
    <col min="9" max="9" width="15" bestFit="1" customWidth="1"/>
    <col min="10" max="10" width="6.7109375" bestFit="1" customWidth="1"/>
    <col min="11" max="11" width="14.28515625" bestFit="1" customWidth="1"/>
    <col min="12" max="12" width="11" bestFit="1" customWidth="1"/>
    <col min="13" max="13" width="21.42578125" bestFit="1" customWidth="1"/>
    <col min="17" max="17" width="11" bestFit="1" customWidth="1"/>
    <col min="18" max="18" width="21.42578125" bestFit="1" customWidth="1"/>
    <col min="19" max="19" width="4.28515625" bestFit="1" customWidth="1"/>
    <col min="21" max="21" width="17.7109375" bestFit="1" customWidth="1"/>
    <col min="22" max="22" width="12.85546875" bestFit="1" customWidth="1"/>
  </cols>
  <sheetData>
    <row r="1" spans="1:22" x14ac:dyDescent="0.25">
      <c r="A1" s="2" t="s">
        <v>0</v>
      </c>
      <c r="B1" s="3" t="s">
        <v>1</v>
      </c>
      <c r="C1" s="3" t="s">
        <v>2</v>
      </c>
      <c r="D1" s="4" t="s">
        <v>3</v>
      </c>
      <c r="F1" t="s">
        <v>1076</v>
      </c>
      <c r="G1" t="s">
        <v>0</v>
      </c>
      <c r="H1" t="s">
        <v>1077</v>
      </c>
      <c r="I1" t="s">
        <v>1078</v>
      </c>
      <c r="J1" t="s">
        <v>1079</v>
      </c>
      <c r="K1" t="s">
        <v>1</v>
      </c>
      <c r="L1" t="s">
        <v>1509</v>
      </c>
      <c r="M1" t="s">
        <v>1503</v>
      </c>
      <c r="Q1" t="s">
        <v>1076</v>
      </c>
      <c r="R1" t="s">
        <v>1419</v>
      </c>
      <c r="S1" s="9"/>
      <c r="U1" s="8" t="s">
        <v>1509</v>
      </c>
      <c r="V1" s="9">
        <v>1</v>
      </c>
    </row>
    <row r="2" spans="1:22" x14ac:dyDescent="0.25">
      <c r="A2" s="5" t="s">
        <v>4</v>
      </c>
      <c r="B2" s="6" t="s">
        <v>5</v>
      </c>
      <c r="C2" s="6" t="s">
        <v>6</v>
      </c>
      <c r="D2" s="7" t="s">
        <v>7</v>
      </c>
      <c r="F2">
        <v>6727559092</v>
      </c>
      <c r="G2" s="1" t="s">
        <v>869</v>
      </c>
      <c r="H2" s="1" t="s">
        <v>1080</v>
      </c>
      <c r="I2" s="1" t="s">
        <v>1081</v>
      </c>
      <c r="J2">
        <v>1240</v>
      </c>
      <c r="K2" s="1" t="str">
        <f>VLOOKUP(uslugi41315[[#This Row],[ozn]],$A$2:$D$410,2,FALSE)</f>
        <v>tarnowski</v>
      </c>
      <c r="L2" s="1">
        <f>IF(uslugi41315[[#This Row],[powiat]]="Konin",1,0)</f>
        <v>0</v>
      </c>
      <c r="M2" s="1" t="str">
        <f>VLOOKUP(uslugi41315[[#This Row],[NIP]],nip_firm61416[],2,FALSE)</f>
        <v>ANDROPOL SP. Z. O. O.</v>
      </c>
      <c r="Q2">
        <v>2394072755</v>
      </c>
      <c r="R2" s="1" t="s">
        <v>1420</v>
      </c>
    </row>
    <row r="3" spans="1:22" x14ac:dyDescent="0.25">
      <c r="A3" s="2" t="s">
        <v>8</v>
      </c>
      <c r="B3" s="3" t="s">
        <v>9</v>
      </c>
      <c r="C3" s="3" t="s">
        <v>10</v>
      </c>
      <c r="D3" s="4" t="s">
        <v>7</v>
      </c>
      <c r="F3">
        <v>3866883575</v>
      </c>
      <c r="G3" s="1" t="s">
        <v>434</v>
      </c>
      <c r="H3" s="1" t="s">
        <v>1082</v>
      </c>
      <c r="I3" s="1" t="s">
        <v>1081</v>
      </c>
      <c r="J3">
        <v>3022</v>
      </c>
      <c r="K3" s="1" t="str">
        <f>VLOOKUP(uslugi41315[[#This Row],[ozn]],$A$2:$D$410,2,FALSE)</f>
        <v>Lublin</v>
      </c>
      <c r="L3" s="1">
        <f>IF(uslugi41315[[#This Row],[powiat]]="Konin",1,0)</f>
        <v>0</v>
      </c>
      <c r="M3" s="1" t="str">
        <f>VLOOKUP(uslugi41315[[#This Row],[NIP]],nip_firm61416[],2,FALSE)</f>
        <v>KPICO</v>
      </c>
      <c r="Q3">
        <v>1599095267</v>
      </c>
      <c r="R3" s="1" t="s">
        <v>1421</v>
      </c>
      <c r="U3" s="8" t="s">
        <v>1511</v>
      </c>
      <c r="V3" t="s">
        <v>1510</v>
      </c>
    </row>
    <row r="4" spans="1:22" x14ac:dyDescent="0.25">
      <c r="A4" s="5" t="s">
        <v>11</v>
      </c>
      <c r="B4" s="6" t="s">
        <v>12</v>
      </c>
      <c r="C4" s="6" t="s">
        <v>13</v>
      </c>
      <c r="D4" s="7" t="s">
        <v>7</v>
      </c>
      <c r="F4">
        <v>1165493421</v>
      </c>
      <c r="G4" s="1" t="s">
        <v>14</v>
      </c>
      <c r="H4" s="1" t="s">
        <v>1083</v>
      </c>
      <c r="I4" s="1" t="s">
        <v>1081</v>
      </c>
      <c r="J4">
        <v>1770</v>
      </c>
      <c r="K4" s="1" t="str">
        <f>VLOOKUP(uslugi41315[[#This Row],[ozn]],$A$2:$D$410,2,FALSE)</f>
        <v>bedzinski</v>
      </c>
      <c r="L4" s="1">
        <f>IF(uslugi41315[[#This Row],[powiat]]="Konin",1,0)</f>
        <v>0</v>
      </c>
      <c r="M4" s="1" t="str">
        <f>VLOOKUP(uslugi41315[[#This Row],[NIP]],nip_firm61416[],2,FALSE)</f>
        <v>LESZNO</v>
      </c>
      <c r="Q4">
        <v>5341884086</v>
      </c>
      <c r="R4" s="1" t="s">
        <v>1422</v>
      </c>
      <c r="U4" s="9" t="s">
        <v>1459</v>
      </c>
      <c r="V4" s="1">
        <v>2325.6428571428573</v>
      </c>
    </row>
    <row r="5" spans="1:22" x14ac:dyDescent="0.25">
      <c r="A5" s="2" t="s">
        <v>14</v>
      </c>
      <c r="B5" s="3" t="s">
        <v>15</v>
      </c>
      <c r="C5" s="3" t="s">
        <v>16</v>
      </c>
      <c r="D5" s="4" t="s">
        <v>7</v>
      </c>
      <c r="F5">
        <v>2138598159</v>
      </c>
      <c r="G5" s="1" t="s">
        <v>143</v>
      </c>
      <c r="H5" s="1" t="s">
        <v>1084</v>
      </c>
      <c r="I5" s="1" t="s">
        <v>1081</v>
      </c>
      <c r="J5">
        <v>2272</v>
      </c>
      <c r="K5" s="1" t="str">
        <f>VLOOKUP(uslugi41315[[#This Row],[ozn]],$A$2:$D$410,2,FALSE)</f>
        <v>elcki</v>
      </c>
      <c r="L5" s="1">
        <f>IF(uslugi41315[[#This Row],[powiat]]="Konin",1,0)</f>
        <v>0</v>
      </c>
      <c r="M5" s="1" t="str">
        <f>VLOOKUP(uslugi41315[[#This Row],[NIP]],nip_firm61416[],2,FALSE)</f>
        <v>METALL</v>
      </c>
      <c r="Q5">
        <v>1818291355</v>
      </c>
      <c r="R5" s="1" t="s">
        <v>1423</v>
      </c>
      <c r="U5" s="9" t="s">
        <v>1455</v>
      </c>
      <c r="V5" s="1">
        <v>2590.125</v>
      </c>
    </row>
    <row r="6" spans="1:22" x14ac:dyDescent="0.25">
      <c r="A6" s="5" t="s">
        <v>17</v>
      </c>
      <c r="B6" s="6" t="s">
        <v>18</v>
      </c>
      <c r="C6" s="6" t="s">
        <v>19</v>
      </c>
      <c r="D6" s="7" t="s">
        <v>7</v>
      </c>
      <c r="F6">
        <v>1617995032</v>
      </c>
      <c r="G6" s="1" t="s">
        <v>892</v>
      </c>
      <c r="H6" s="1" t="s">
        <v>1085</v>
      </c>
      <c r="I6" s="1" t="s">
        <v>1081</v>
      </c>
      <c r="J6">
        <v>2253</v>
      </c>
      <c r="K6" s="1" t="str">
        <f>VLOOKUP(uslugi41315[[#This Row],[ozn]],$A$2:$D$410,2,FALSE)</f>
        <v>turecki</v>
      </c>
      <c r="L6" s="1">
        <f>IF(uslugi41315[[#This Row],[powiat]]="Konin",1,0)</f>
        <v>0</v>
      </c>
      <c r="M6" s="1" t="str">
        <f>VLOOKUP(uslugi41315[[#This Row],[NIP]],nip_firm61416[],2,FALSE)</f>
        <v>RENOWATOR</v>
      </c>
      <c r="Q6">
        <v>1361555378</v>
      </c>
      <c r="R6" s="1" t="s">
        <v>1424</v>
      </c>
      <c r="U6" s="9" t="s">
        <v>1469</v>
      </c>
      <c r="V6" s="1">
        <v>2556.4285714285716</v>
      </c>
    </row>
    <row r="7" spans="1:22" x14ac:dyDescent="0.25">
      <c r="A7" s="2" t="s">
        <v>20</v>
      </c>
      <c r="B7" s="3" t="s">
        <v>21</v>
      </c>
      <c r="C7" s="3" t="s">
        <v>21</v>
      </c>
      <c r="D7" s="4" t="s">
        <v>22</v>
      </c>
      <c r="F7">
        <v>2625657803</v>
      </c>
      <c r="G7" s="1" t="s">
        <v>14</v>
      </c>
      <c r="H7" s="1" t="s">
        <v>1086</v>
      </c>
      <c r="I7" s="1" t="s">
        <v>1087</v>
      </c>
      <c r="J7">
        <v>2349</v>
      </c>
      <c r="K7" s="1" t="str">
        <f>VLOOKUP(uslugi41315[[#This Row],[ozn]],$A$2:$D$410,2,FALSE)</f>
        <v>bedzinski</v>
      </c>
      <c r="L7" s="1">
        <f>IF(uslugi41315[[#This Row],[powiat]]="Konin",1,0)</f>
        <v>0</v>
      </c>
      <c r="M7" s="1" t="str">
        <f>VLOOKUP(uslugi41315[[#This Row],[NIP]],nip_firm61416[],2,FALSE)</f>
        <v>SUWAL</v>
      </c>
      <c r="Q7">
        <v>2869229213</v>
      </c>
      <c r="R7" s="1" t="s">
        <v>1425</v>
      </c>
      <c r="U7" s="9" t="s">
        <v>1481</v>
      </c>
      <c r="V7" s="1">
        <v>2454.3103448275861</v>
      </c>
    </row>
    <row r="8" spans="1:22" x14ac:dyDescent="0.25">
      <c r="A8" s="5" t="s">
        <v>23</v>
      </c>
      <c r="B8" s="6" t="s">
        <v>24</v>
      </c>
      <c r="C8" s="6" t="s">
        <v>25</v>
      </c>
      <c r="D8" s="7" t="s">
        <v>7</v>
      </c>
      <c r="F8">
        <v>6758177505</v>
      </c>
      <c r="G8" s="1" t="s">
        <v>869</v>
      </c>
      <c r="H8" s="1" t="s">
        <v>1088</v>
      </c>
      <c r="I8" s="1" t="s">
        <v>1087</v>
      </c>
      <c r="J8">
        <v>2154</v>
      </c>
      <c r="K8" s="1" t="str">
        <f>VLOOKUP(uslugi41315[[#This Row],[ozn]],$A$2:$D$410,2,FALSE)</f>
        <v>tarnowski</v>
      </c>
      <c r="L8" s="1">
        <f>IF(uslugi41315[[#This Row],[powiat]]="Konin",1,0)</f>
        <v>0</v>
      </c>
      <c r="M8" s="1" t="str">
        <f>VLOOKUP(uslugi41315[[#This Row],[NIP]],nip_firm61416[],2,FALSE)</f>
        <v>WERTIX</v>
      </c>
      <c r="Q8">
        <v>5528435390</v>
      </c>
      <c r="R8" s="1" t="s">
        <v>1426</v>
      </c>
    </row>
    <row r="9" spans="1:22" x14ac:dyDescent="0.25">
      <c r="A9" s="2" t="s">
        <v>26</v>
      </c>
      <c r="B9" s="3" t="s">
        <v>27</v>
      </c>
      <c r="C9" s="3" t="s">
        <v>28</v>
      </c>
      <c r="D9" s="4" t="s">
        <v>7</v>
      </c>
      <c r="F9">
        <v>4531538788</v>
      </c>
      <c r="G9" s="1" t="s">
        <v>14</v>
      </c>
      <c r="H9" s="1" t="s">
        <v>1089</v>
      </c>
      <c r="I9" s="1" t="s">
        <v>1081</v>
      </c>
      <c r="J9">
        <v>2385</v>
      </c>
      <c r="K9" s="1" t="str">
        <f>VLOOKUP(uslugi41315[[#This Row],[ozn]],$A$2:$D$410,2,FALSE)</f>
        <v>bedzinski</v>
      </c>
      <c r="L9" s="1">
        <f>IF(uslugi41315[[#This Row],[powiat]]="Konin",1,0)</f>
        <v>0</v>
      </c>
      <c r="M9" s="1" t="str">
        <f>VLOOKUP(uslugi41315[[#This Row],[NIP]],nip_firm61416[],2,FALSE)</f>
        <v>TRZEBNICA</v>
      </c>
      <c r="Q9">
        <v>2625657803</v>
      </c>
      <c r="R9" s="1" t="s">
        <v>1427</v>
      </c>
      <c r="U9" s="10" t="s">
        <v>1511</v>
      </c>
      <c r="V9" s="10" t="s">
        <v>1512</v>
      </c>
    </row>
    <row r="10" spans="1:22" x14ac:dyDescent="0.25">
      <c r="A10" s="5" t="s">
        <v>29</v>
      </c>
      <c r="B10" s="6" t="s">
        <v>30</v>
      </c>
      <c r="C10" s="6" t="s">
        <v>31</v>
      </c>
      <c r="D10" s="7" t="s">
        <v>7</v>
      </c>
      <c r="F10">
        <v>2138598159</v>
      </c>
      <c r="G10" s="1" t="s">
        <v>143</v>
      </c>
      <c r="H10" s="1" t="s">
        <v>1090</v>
      </c>
      <c r="I10" s="1" t="s">
        <v>1087</v>
      </c>
      <c r="J10">
        <v>2370</v>
      </c>
      <c r="K10" s="1" t="str">
        <f>VLOOKUP(uslugi41315[[#This Row],[ozn]],$A$2:$D$410,2,FALSE)</f>
        <v>elcki</v>
      </c>
      <c r="L10" s="1">
        <f>IF(uslugi41315[[#This Row],[powiat]]="Konin",1,0)</f>
        <v>0</v>
      </c>
      <c r="M10" s="1" t="str">
        <f>VLOOKUP(uslugi41315[[#This Row],[NIP]],nip_firm61416[],2,FALSE)</f>
        <v>METALL</v>
      </c>
      <c r="Q10">
        <v>1871447797</v>
      </c>
      <c r="R10" s="1" t="s">
        <v>1428</v>
      </c>
      <c r="U10" s="11" t="s">
        <v>1459</v>
      </c>
      <c r="V10" s="12">
        <f>ROUND(2325.64285714286,2)</f>
        <v>2325.64</v>
      </c>
    </row>
    <row r="11" spans="1:22" x14ac:dyDescent="0.25">
      <c r="A11" s="2" t="s">
        <v>32</v>
      </c>
      <c r="B11" s="3" t="s">
        <v>33</v>
      </c>
      <c r="C11" s="3" t="s">
        <v>21</v>
      </c>
      <c r="D11" s="4" t="s">
        <v>7</v>
      </c>
      <c r="F11">
        <v>1818291355</v>
      </c>
      <c r="G11" s="1" t="s">
        <v>14</v>
      </c>
      <c r="H11" s="1" t="s">
        <v>1091</v>
      </c>
      <c r="I11" s="1" t="s">
        <v>1081</v>
      </c>
      <c r="J11">
        <v>1862</v>
      </c>
      <c r="K11" s="1" t="str">
        <f>VLOOKUP(uslugi41315[[#This Row],[ozn]],$A$2:$D$410,2,FALSE)</f>
        <v>bedzinski</v>
      </c>
      <c r="L11" s="1">
        <f>IF(uslugi41315[[#This Row],[powiat]]="Konin",1,0)</f>
        <v>0</v>
      </c>
      <c r="M11" s="1" t="str">
        <f>VLOOKUP(uslugi41315[[#This Row],[NIP]],nip_firm61416[],2,FALSE)</f>
        <v>SZAMOT</v>
      </c>
      <c r="Q11">
        <v>4241680809</v>
      </c>
      <c r="R11" s="1" t="s">
        <v>1429</v>
      </c>
      <c r="U11" s="11" t="s">
        <v>1455</v>
      </c>
      <c r="V11" s="12">
        <f>ROUND(2590.125,2)</f>
        <v>2590.13</v>
      </c>
    </row>
    <row r="12" spans="1:22" x14ac:dyDescent="0.25">
      <c r="A12" s="5" t="s">
        <v>34</v>
      </c>
      <c r="B12" s="6" t="s">
        <v>31</v>
      </c>
      <c r="C12" s="6" t="s">
        <v>31</v>
      </c>
      <c r="D12" s="7" t="s">
        <v>22</v>
      </c>
      <c r="F12">
        <v>2599394621</v>
      </c>
      <c r="G12" s="1" t="s">
        <v>14</v>
      </c>
      <c r="H12" s="1" t="s">
        <v>1092</v>
      </c>
      <c r="I12" s="1" t="s">
        <v>1087</v>
      </c>
      <c r="J12">
        <v>2508</v>
      </c>
      <c r="K12" s="1" t="str">
        <f>VLOOKUP(uslugi41315[[#This Row],[ozn]],$A$2:$D$410,2,FALSE)</f>
        <v>bedzinski</v>
      </c>
      <c r="L12" s="1">
        <f>IF(uslugi41315[[#This Row],[powiat]]="Konin",1,0)</f>
        <v>0</v>
      </c>
      <c r="M12" s="1" t="str">
        <f>VLOOKUP(uslugi41315[[#This Row],[NIP]],nip_firm61416[],2,FALSE)</f>
        <v>OLECKO</v>
      </c>
      <c r="Q12">
        <v>3318203338</v>
      </c>
      <c r="R12" s="1" t="s">
        <v>1430</v>
      </c>
      <c r="U12" s="11" t="s">
        <v>1469</v>
      </c>
      <c r="V12" s="12">
        <f>ROUND(2556.42857142857,2)</f>
        <v>2556.4299999999998</v>
      </c>
    </row>
    <row r="13" spans="1:22" x14ac:dyDescent="0.25">
      <c r="A13" s="2" t="s">
        <v>35</v>
      </c>
      <c r="B13" s="3" t="s">
        <v>36</v>
      </c>
      <c r="C13" s="3" t="s">
        <v>37</v>
      </c>
      <c r="D13" s="4" t="s">
        <v>7</v>
      </c>
      <c r="F13">
        <v>4653095092</v>
      </c>
      <c r="G13" s="1" t="s">
        <v>527</v>
      </c>
      <c r="H13" s="1" t="s">
        <v>1093</v>
      </c>
      <c r="I13" s="1" t="s">
        <v>1081</v>
      </c>
      <c r="J13">
        <v>2502</v>
      </c>
      <c r="K13" s="1" t="str">
        <f>VLOOKUP(uslugi41315[[#This Row],[ozn]],$A$2:$D$410,2,FALSE)</f>
        <v>nyski</v>
      </c>
      <c r="L13" s="1">
        <f>IF(uslugi41315[[#This Row],[powiat]]="Konin",1,0)</f>
        <v>0</v>
      </c>
      <c r="M13" s="1" t="str">
        <f>VLOOKUP(uslugi41315[[#This Row],[NIP]],nip_firm61416[],2,FALSE)</f>
        <v>ZGORZELEC</v>
      </c>
      <c r="Q13">
        <v>1524870307</v>
      </c>
      <c r="R13" s="1" t="s">
        <v>1431</v>
      </c>
    </row>
    <row r="14" spans="1:22" x14ac:dyDescent="0.25">
      <c r="A14" s="5" t="s">
        <v>38</v>
      </c>
      <c r="B14" s="6" t="s">
        <v>36</v>
      </c>
      <c r="C14" s="6" t="s">
        <v>39</v>
      </c>
      <c r="D14" s="7" t="s">
        <v>7</v>
      </c>
      <c r="F14">
        <v>5229945534</v>
      </c>
      <c r="G14" s="1" t="s">
        <v>14</v>
      </c>
      <c r="H14" s="1" t="s">
        <v>1094</v>
      </c>
      <c r="I14" s="1" t="s">
        <v>1087</v>
      </c>
      <c r="J14">
        <v>2674</v>
      </c>
      <c r="K14" s="1" t="str">
        <f>VLOOKUP(uslugi41315[[#This Row],[ozn]],$A$2:$D$410,2,FALSE)</f>
        <v>bedzinski</v>
      </c>
      <c r="L14" s="1">
        <f>IF(uslugi41315[[#This Row],[powiat]]="Konin",1,0)</f>
        <v>0</v>
      </c>
      <c r="M14" s="1" t="str">
        <f>VLOOKUP(uslugi41315[[#This Row],[NIP]],nip_firm61416[],2,FALSE)</f>
        <v>TARNOR</v>
      </c>
      <c r="Q14">
        <v>1581329071</v>
      </c>
      <c r="R14" s="1" t="s">
        <v>1432</v>
      </c>
    </row>
    <row r="15" spans="1:22" x14ac:dyDescent="0.25">
      <c r="A15" s="2" t="s">
        <v>40</v>
      </c>
      <c r="B15" s="3" t="s">
        <v>39</v>
      </c>
      <c r="C15" s="3" t="s">
        <v>39</v>
      </c>
      <c r="D15" s="4" t="s">
        <v>22</v>
      </c>
      <c r="F15">
        <v>3743661247</v>
      </c>
      <c r="G15" s="1" t="s">
        <v>14</v>
      </c>
      <c r="H15" s="1" t="s">
        <v>1095</v>
      </c>
      <c r="I15" s="1" t="s">
        <v>1087</v>
      </c>
      <c r="J15">
        <v>2176</v>
      </c>
      <c r="K15" s="1" t="str">
        <f>VLOOKUP(uslugi41315[[#This Row],[ozn]],$A$2:$D$410,2,FALSE)</f>
        <v>bedzinski</v>
      </c>
      <c r="L15" s="1">
        <f>IF(uslugi41315[[#This Row],[powiat]]="Konin",1,0)</f>
        <v>0</v>
      </c>
      <c r="M15" s="1" t="str">
        <f>VLOOKUP(uslugi41315[[#This Row],[NIP]],nip_firm61416[],2,FALSE)</f>
        <v>ZWIERZYNIEC</v>
      </c>
      <c r="Q15">
        <v>3114182744</v>
      </c>
      <c r="R15" s="1" t="s">
        <v>1433</v>
      </c>
    </row>
    <row r="16" spans="1:22" x14ac:dyDescent="0.25">
      <c r="A16" s="5" t="s">
        <v>41</v>
      </c>
      <c r="B16" s="6" t="s">
        <v>42</v>
      </c>
      <c r="C16" s="6" t="s">
        <v>43</v>
      </c>
      <c r="D16" s="7" t="s">
        <v>7</v>
      </c>
      <c r="F16">
        <v>4779174699</v>
      </c>
      <c r="G16" s="1" t="s">
        <v>1003</v>
      </c>
      <c r="H16" s="1" t="s">
        <v>1096</v>
      </c>
      <c r="I16" s="1" t="s">
        <v>1087</v>
      </c>
      <c r="J16">
        <v>1875</v>
      </c>
      <c r="K16" s="1" t="str">
        <f>VLOOKUP(uslugi41315[[#This Row],[ozn]],$A$2:$D$410,2,FALSE)</f>
        <v>Wroclaw</v>
      </c>
      <c r="L16" s="1">
        <f>IF(uslugi41315[[#This Row],[powiat]]="Konin",1,0)</f>
        <v>0</v>
      </c>
      <c r="M16" s="1" t="str">
        <f>VLOOKUP(uslugi41315[[#This Row],[NIP]],nip_firm61416[],2,FALSE)</f>
        <v>FASO</v>
      </c>
      <c r="Q16">
        <v>3743661247</v>
      </c>
      <c r="R16" s="1" t="s">
        <v>1434</v>
      </c>
    </row>
    <row r="17" spans="1:18" x14ac:dyDescent="0.25">
      <c r="A17" s="2" t="s">
        <v>44</v>
      </c>
      <c r="B17" s="3" t="s">
        <v>45</v>
      </c>
      <c r="C17" s="3" t="s">
        <v>46</v>
      </c>
      <c r="D17" s="4" t="s">
        <v>7</v>
      </c>
      <c r="F17">
        <v>4715154852</v>
      </c>
      <c r="G17" s="1" t="s">
        <v>1003</v>
      </c>
      <c r="H17" s="1" t="s">
        <v>1097</v>
      </c>
      <c r="I17" s="1" t="s">
        <v>1081</v>
      </c>
      <c r="J17">
        <v>2520</v>
      </c>
      <c r="K17" s="1" t="str">
        <f>VLOOKUP(uslugi41315[[#This Row],[ozn]],$A$2:$D$410,2,FALSE)</f>
        <v>Wroclaw</v>
      </c>
      <c r="L17" s="1">
        <f>IF(uslugi41315[[#This Row],[powiat]]="Konin",1,0)</f>
        <v>0</v>
      </c>
      <c r="M17" s="1" t="str">
        <f>VLOOKUP(uslugi41315[[#This Row],[NIP]],nip_firm61416[],2,FALSE)</f>
        <v>NAFTO-GAZ</v>
      </c>
      <c r="Q17">
        <v>5185759244</v>
      </c>
      <c r="R17" s="1" t="s">
        <v>1435</v>
      </c>
    </row>
    <row r="18" spans="1:18" x14ac:dyDescent="0.25">
      <c r="A18" s="5" t="s">
        <v>47</v>
      </c>
      <c r="B18" s="6" t="s">
        <v>48</v>
      </c>
      <c r="C18" s="6" t="s">
        <v>49</v>
      </c>
      <c r="D18" s="7" t="s">
        <v>7</v>
      </c>
      <c r="F18">
        <v>6758177505</v>
      </c>
      <c r="G18" s="1" t="s">
        <v>869</v>
      </c>
      <c r="H18" s="1" t="s">
        <v>1098</v>
      </c>
      <c r="I18" s="1" t="s">
        <v>1081</v>
      </c>
      <c r="J18">
        <v>2984</v>
      </c>
      <c r="K18" s="1" t="str">
        <f>VLOOKUP(uslugi41315[[#This Row],[ozn]],$A$2:$D$410,2,FALSE)</f>
        <v>tarnowski</v>
      </c>
      <c r="L18" s="1">
        <f>IF(uslugi41315[[#This Row],[powiat]]="Konin",1,0)</f>
        <v>0</v>
      </c>
      <c r="M18" s="1" t="str">
        <f>VLOOKUP(uslugi41315[[#This Row],[NIP]],nip_firm61416[],2,FALSE)</f>
        <v>WERTIX</v>
      </c>
      <c r="Q18">
        <v>5229945534</v>
      </c>
      <c r="R18" s="1" t="s">
        <v>1436</v>
      </c>
    </row>
    <row r="19" spans="1:18" x14ac:dyDescent="0.25">
      <c r="A19" s="2" t="s">
        <v>50</v>
      </c>
      <c r="B19" s="3" t="s">
        <v>51</v>
      </c>
      <c r="C19" s="3" t="s">
        <v>52</v>
      </c>
      <c r="D19" s="4" t="s">
        <v>7</v>
      </c>
      <c r="F19">
        <v>2581219876</v>
      </c>
      <c r="G19" s="1" t="s">
        <v>141</v>
      </c>
      <c r="H19" s="1" t="s">
        <v>1099</v>
      </c>
      <c r="I19" s="1" t="s">
        <v>1087</v>
      </c>
      <c r="J19">
        <v>2685</v>
      </c>
      <c r="K19" s="1" t="str">
        <f>VLOOKUP(uslugi41315[[#This Row],[ozn]],$A$2:$D$410,2,FALSE)</f>
        <v>elblaski</v>
      </c>
      <c r="L19" s="1">
        <f>IF(uslugi41315[[#This Row],[powiat]]="Konin",1,0)</f>
        <v>0</v>
      </c>
      <c r="M19" s="1" t="str">
        <f>VLOOKUP(uslugi41315[[#This Row],[NIP]],nip_firm61416[],2,FALSE)</f>
        <v>TECH-MASZ</v>
      </c>
      <c r="Q19">
        <v>5266741491</v>
      </c>
      <c r="R19" s="1" t="s">
        <v>1437</v>
      </c>
    </row>
    <row r="20" spans="1:18" x14ac:dyDescent="0.25">
      <c r="A20" s="5" t="s">
        <v>53</v>
      </c>
      <c r="B20" s="6" t="s">
        <v>54</v>
      </c>
      <c r="C20" s="6" t="s">
        <v>55</v>
      </c>
      <c r="D20" s="7" t="s">
        <v>7</v>
      </c>
      <c r="F20">
        <v>3568004264</v>
      </c>
      <c r="G20" s="1" t="s">
        <v>428</v>
      </c>
      <c r="H20" s="1" t="s">
        <v>1100</v>
      </c>
      <c r="I20" s="1" t="s">
        <v>1081</v>
      </c>
      <c r="J20">
        <v>2438</v>
      </c>
      <c r="K20" s="1" t="str">
        <f>VLOOKUP(uslugi41315[[#This Row],[ozn]],$A$2:$D$410,2,FALSE)</f>
        <v>lubelski</v>
      </c>
      <c r="L20" s="1">
        <f>IF(uslugi41315[[#This Row],[powiat]]="Konin",1,0)</f>
        <v>0</v>
      </c>
      <c r="M20" s="1" t="str">
        <f>VLOOKUP(uslugi41315[[#This Row],[NIP]],nip_firm61416[],2,FALSE)</f>
        <v>MURATOR</v>
      </c>
      <c r="Q20">
        <v>1246489959</v>
      </c>
      <c r="R20" s="1" t="s">
        <v>1438</v>
      </c>
    </row>
    <row r="21" spans="1:18" x14ac:dyDescent="0.25">
      <c r="A21" s="2" t="s">
        <v>56</v>
      </c>
      <c r="B21" s="3" t="s">
        <v>57</v>
      </c>
      <c r="C21" s="3" t="s">
        <v>58</v>
      </c>
      <c r="D21" s="4" t="s">
        <v>7</v>
      </c>
      <c r="F21">
        <v>6727559092</v>
      </c>
      <c r="G21" s="1" t="s">
        <v>869</v>
      </c>
      <c r="H21" s="1" t="s">
        <v>1101</v>
      </c>
      <c r="I21" s="1" t="s">
        <v>1087</v>
      </c>
      <c r="J21">
        <v>2435</v>
      </c>
      <c r="K21" s="1" t="str">
        <f>VLOOKUP(uslugi41315[[#This Row],[ozn]],$A$2:$D$410,2,FALSE)</f>
        <v>tarnowski</v>
      </c>
      <c r="L21" s="1">
        <f>IF(uslugi41315[[#This Row],[powiat]]="Konin",1,0)</f>
        <v>0</v>
      </c>
      <c r="M21" s="1" t="str">
        <f>VLOOKUP(uslugi41315[[#This Row],[NIP]],nip_firm61416[],2,FALSE)</f>
        <v>ANDROPOL SP. Z. O. O.</v>
      </c>
      <c r="Q21">
        <v>5418968184</v>
      </c>
      <c r="R21" s="1" t="s">
        <v>1439</v>
      </c>
    </row>
    <row r="22" spans="1:18" x14ac:dyDescent="0.25">
      <c r="A22" s="5" t="s">
        <v>59</v>
      </c>
      <c r="B22" s="6" t="s">
        <v>60</v>
      </c>
      <c r="C22" s="6" t="s">
        <v>61</v>
      </c>
      <c r="D22" s="7" t="s">
        <v>7</v>
      </c>
      <c r="F22">
        <v>5418968184</v>
      </c>
      <c r="G22" s="1" t="s">
        <v>14</v>
      </c>
      <c r="H22" s="1" t="s">
        <v>1102</v>
      </c>
      <c r="I22" s="1" t="s">
        <v>1081</v>
      </c>
      <c r="J22">
        <v>1806</v>
      </c>
      <c r="K22" s="1" t="str">
        <f>VLOOKUP(uslugi41315[[#This Row],[ozn]],$A$2:$D$410,2,FALSE)</f>
        <v>bedzinski</v>
      </c>
      <c r="L22" s="1">
        <f>IF(uslugi41315[[#This Row],[powiat]]="Konin",1,0)</f>
        <v>0</v>
      </c>
      <c r="M22" s="1" t="str">
        <f>VLOOKUP(uslugi41315[[#This Row],[NIP]],nip_firm61416[],2,FALSE)</f>
        <v>SOSNEC</v>
      </c>
      <c r="Q22">
        <v>1165493421</v>
      </c>
      <c r="R22" s="1" t="s">
        <v>1440</v>
      </c>
    </row>
    <row r="23" spans="1:18" x14ac:dyDescent="0.25">
      <c r="A23" s="2" t="s">
        <v>62</v>
      </c>
      <c r="B23" s="3" t="s">
        <v>63</v>
      </c>
      <c r="C23" s="3" t="s">
        <v>64</v>
      </c>
      <c r="D23" s="4" t="s">
        <v>7</v>
      </c>
      <c r="F23">
        <v>4956781088</v>
      </c>
      <c r="G23" s="1" t="s">
        <v>184</v>
      </c>
      <c r="H23" s="1" t="s">
        <v>1103</v>
      </c>
      <c r="I23" s="1" t="s">
        <v>1087</v>
      </c>
      <c r="J23">
        <v>2156</v>
      </c>
      <c r="K23" s="1" t="str">
        <f>VLOOKUP(uslugi41315[[#This Row],[ozn]],$A$2:$D$410,2,FALSE)</f>
        <v>gorowski</v>
      </c>
      <c r="L23" s="1">
        <f>IF(uslugi41315[[#This Row],[powiat]]="Konin",1,0)</f>
        <v>0</v>
      </c>
      <c r="M23" s="1" t="str">
        <f>VLOOKUP(uslugi41315[[#This Row],[NIP]],nip_firm61416[],2,FALSE)</f>
        <v>FERMILAB</v>
      </c>
      <c r="Q23">
        <v>4580185570</v>
      </c>
      <c r="R23" s="1" t="s">
        <v>1441</v>
      </c>
    </row>
    <row r="24" spans="1:18" x14ac:dyDescent="0.25">
      <c r="A24" s="5" t="s">
        <v>65</v>
      </c>
      <c r="B24" s="6" t="s">
        <v>63</v>
      </c>
      <c r="C24" s="6" t="s">
        <v>66</v>
      </c>
      <c r="D24" s="7" t="s">
        <v>7</v>
      </c>
      <c r="F24">
        <v>5341884086</v>
      </c>
      <c r="G24" s="1" t="s">
        <v>14</v>
      </c>
      <c r="H24" s="1" t="s">
        <v>1104</v>
      </c>
      <c r="I24" s="1" t="s">
        <v>1087</v>
      </c>
      <c r="J24">
        <v>1908</v>
      </c>
      <c r="K24" s="1" t="str">
        <f>VLOOKUP(uslugi41315[[#This Row],[ozn]],$A$2:$D$410,2,FALSE)</f>
        <v>bedzinski</v>
      </c>
      <c r="L24" s="1">
        <f>IF(uslugi41315[[#This Row],[powiat]]="Konin",1,0)</f>
        <v>0</v>
      </c>
      <c r="M24" s="1" t="str">
        <f>VLOOKUP(uslugi41315[[#This Row],[NIP]],nip_firm61416[],2,FALSE)</f>
        <v>SENIN</v>
      </c>
      <c r="Q24">
        <v>2599394621</v>
      </c>
      <c r="R24" s="1" t="s">
        <v>1442</v>
      </c>
    </row>
    <row r="25" spans="1:18" x14ac:dyDescent="0.25">
      <c r="A25" s="2" t="s">
        <v>67</v>
      </c>
      <c r="B25" s="3" t="s">
        <v>68</v>
      </c>
      <c r="C25" s="3" t="s">
        <v>69</v>
      </c>
      <c r="D25" s="4" t="s">
        <v>7</v>
      </c>
      <c r="F25">
        <v>1939065269</v>
      </c>
      <c r="G25" s="1" t="s">
        <v>636</v>
      </c>
      <c r="H25" s="1" t="s">
        <v>1105</v>
      </c>
      <c r="I25" s="1" t="s">
        <v>1087</v>
      </c>
      <c r="J25">
        <v>3156</v>
      </c>
      <c r="K25" s="1" t="str">
        <f>VLOOKUP(uslugi41315[[#This Row],[ozn]],$A$2:$D$410,2,FALSE)</f>
        <v>Poznan</v>
      </c>
      <c r="L25" s="1">
        <f>IF(uslugi41315[[#This Row],[powiat]]="Konin",1,0)</f>
        <v>0</v>
      </c>
      <c r="M25" s="1" t="str">
        <f>VLOOKUP(uslugi41315[[#This Row],[NIP]],nip_firm61416[],2,FALSE)</f>
        <v>KUSTMASZ</v>
      </c>
      <c r="Q25">
        <v>4531538788</v>
      </c>
      <c r="R25" s="1" t="s">
        <v>1443</v>
      </c>
    </row>
    <row r="26" spans="1:18" x14ac:dyDescent="0.25">
      <c r="A26" s="5" t="s">
        <v>70</v>
      </c>
      <c r="B26" s="6" t="s">
        <v>71</v>
      </c>
      <c r="C26" s="6" t="s">
        <v>72</v>
      </c>
      <c r="D26" s="7" t="s">
        <v>7</v>
      </c>
      <c r="F26">
        <v>4715154852</v>
      </c>
      <c r="G26" s="1" t="s">
        <v>1003</v>
      </c>
      <c r="H26" s="1" t="s">
        <v>1106</v>
      </c>
      <c r="I26" s="1" t="s">
        <v>1081</v>
      </c>
      <c r="J26">
        <v>2276</v>
      </c>
      <c r="K26" s="1" t="str">
        <f>VLOOKUP(uslugi41315[[#This Row],[ozn]],$A$2:$D$410,2,FALSE)</f>
        <v>Wroclaw</v>
      </c>
      <c r="L26" s="1">
        <f>IF(uslugi41315[[#This Row],[powiat]]="Konin",1,0)</f>
        <v>0</v>
      </c>
      <c r="M26" s="1" t="str">
        <f>VLOOKUP(uslugi41315[[#This Row],[NIP]],nip_firm61416[],2,FALSE)</f>
        <v>NAFTO-GAZ</v>
      </c>
      <c r="Q26">
        <v>4458233905</v>
      </c>
      <c r="R26" s="1" t="s">
        <v>1444</v>
      </c>
    </row>
    <row r="27" spans="1:18" x14ac:dyDescent="0.25">
      <c r="A27" s="2" t="s">
        <v>73</v>
      </c>
      <c r="B27" s="3" t="s">
        <v>74</v>
      </c>
      <c r="C27" s="3" t="s">
        <v>75</v>
      </c>
      <c r="D27" s="4" t="s">
        <v>7</v>
      </c>
      <c r="F27">
        <v>5115061689</v>
      </c>
      <c r="G27" s="1" t="s">
        <v>704</v>
      </c>
      <c r="H27" s="1" t="s">
        <v>1107</v>
      </c>
      <c r="I27" s="1" t="s">
        <v>1087</v>
      </c>
      <c r="J27">
        <v>1627</v>
      </c>
      <c r="K27" s="1" t="str">
        <f>VLOOKUP(uslugi41315[[#This Row],[ozn]],$A$2:$D$410,2,FALSE)</f>
        <v>Ruda Slaska</v>
      </c>
      <c r="L27" s="1">
        <f>IF(uslugi41315[[#This Row],[powiat]]="Konin",1,0)</f>
        <v>0</v>
      </c>
      <c r="M27" s="1" t="str">
        <f>VLOOKUP(uslugi41315[[#This Row],[NIP]],nip_firm61416[],2,FALSE)</f>
        <v>BETON-STAL</v>
      </c>
      <c r="Q27">
        <v>4326751508</v>
      </c>
      <c r="R27" s="1" t="s">
        <v>1445</v>
      </c>
    </row>
    <row r="28" spans="1:18" x14ac:dyDescent="0.25">
      <c r="A28" s="5" t="s">
        <v>76</v>
      </c>
      <c r="B28" s="6" t="s">
        <v>77</v>
      </c>
      <c r="C28" s="6" t="s">
        <v>78</v>
      </c>
      <c r="D28" s="7" t="s">
        <v>7</v>
      </c>
      <c r="F28">
        <v>4326751508</v>
      </c>
      <c r="G28" s="1" t="s">
        <v>40</v>
      </c>
      <c r="H28" s="1" t="s">
        <v>1108</v>
      </c>
      <c r="I28" s="1" t="s">
        <v>1087</v>
      </c>
      <c r="J28">
        <v>2060</v>
      </c>
      <c r="K28" s="1" t="str">
        <f>VLOOKUP(uslugi41315[[#This Row],[ozn]],$A$2:$D$410,2,FALSE)</f>
        <v>Bielsko-Biala</v>
      </c>
      <c r="L28" s="1">
        <f>IF(uslugi41315[[#This Row],[powiat]]="Konin",1,0)</f>
        <v>0</v>
      </c>
      <c r="M28" s="1" t="str">
        <f>VLOOKUP(uslugi41315[[#This Row],[NIP]],nip_firm61416[],2,FALSE)</f>
        <v>WROCBUD2</v>
      </c>
      <c r="Q28">
        <v>4761158900</v>
      </c>
      <c r="R28" s="1" t="s">
        <v>1446</v>
      </c>
    </row>
    <row r="29" spans="1:18" x14ac:dyDescent="0.25">
      <c r="A29" s="2" t="s">
        <v>79</v>
      </c>
      <c r="B29" s="3" t="s">
        <v>78</v>
      </c>
      <c r="C29" s="3" t="s">
        <v>78</v>
      </c>
      <c r="D29" s="4" t="s">
        <v>22</v>
      </c>
      <c r="F29">
        <v>1581329071</v>
      </c>
      <c r="G29" s="1" t="s">
        <v>14</v>
      </c>
      <c r="H29" s="1" t="s">
        <v>1109</v>
      </c>
      <c r="I29" s="1" t="s">
        <v>1087</v>
      </c>
      <c r="J29">
        <v>2236</v>
      </c>
      <c r="K29" s="1" t="str">
        <f>VLOOKUP(uslugi41315[[#This Row],[ozn]],$A$2:$D$410,2,FALSE)</f>
        <v>bedzinski</v>
      </c>
      <c r="L29" s="1">
        <f>IF(uslugi41315[[#This Row],[powiat]]="Konin",1,0)</f>
        <v>0</v>
      </c>
      <c r="M29" s="1" t="str">
        <f>VLOOKUP(uslugi41315[[#This Row],[NIP]],nip_firm61416[],2,FALSE)</f>
        <v>WRZESNIA1</v>
      </c>
      <c r="Q29">
        <v>4653095092</v>
      </c>
      <c r="R29" s="1" t="s">
        <v>1447</v>
      </c>
    </row>
    <row r="30" spans="1:18" x14ac:dyDescent="0.25">
      <c r="A30" s="5" t="s">
        <v>80</v>
      </c>
      <c r="B30" s="6" t="s">
        <v>81</v>
      </c>
      <c r="C30" s="6" t="s">
        <v>81</v>
      </c>
      <c r="D30" s="7" t="s">
        <v>22</v>
      </c>
      <c r="F30">
        <v>4326751508</v>
      </c>
      <c r="G30" s="1" t="s">
        <v>40</v>
      </c>
      <c r="H30" s="1" t="s">
        <v>1110</v>
      </c>
      <c r="I30" s="1" t="s">
        <v>1081</v>
      </c>
      <c r="J30">
        <v>2000</v>
      </c>
      <c r="K30" s="1" t="str">
        <f>VLOOKUP(uslugi41315[[#This Row],[ozn]],$A$2:$D$410,2,FALSE)</f>
        <v>Bielsko-Biala</v>
      </c>
      <c r="L30" s="1">
        <f>IF(uslugi41315[[#This Row],[powiat]]="Konin",1,0)</f>
        <v>0</v>
      </c>
      <c r="M30" s="1" t="str">
        <f>VLOOKUP(uslugi41315[[#This Row],[NIP]],nip_firm61416[],2,FALSE)</f>
        <v>WROCBUD2</v>
      </c>
      <c r="Q30">
        <v>3678947206</v>
      </c>
      <c r="R30" s="1" t="s">
        <v>1448</v>
      </c>
    </row>
    <row r="31" spans="1:18" x14ac:dyDescent="0.25">
      <c r="A31" s="2" t="s">
        <v>82</v>
      </c>
      <c r="B31" s="3" t="s">
        <v>83</v>
      </c>
      <c r="C31" s="3" t="s">
        <v>84</v>
      </c>
      <c r="D31" s="4" t="s">
        <v>7</v>
      </c>
      <c r="F31">
        <v>3470453173</v>
      </c>
      <c r="G31" s="1" t="s">
        <v>85</v>
      </c>
      <c r="H31" s="1" t="s">
        <v>1111</v>
      </c>
      <c r="I31" s="1" t="s">
        <v>1081</v>
      </c>
      <c r="J31">
        <v>2040</v>
      </c>
      <c r="K31" s="1" t="str">
        <f>VLOOKUP(uslugi41315[[#This Row],[ozn]],$A$2:$D$410,2,FALSE)</f>
        <v>Chelm</v>
      </c>
      <c r="L31" s="1">
        <f>IF(uslugi41315[[#This Row],[powiat]]="Konin",1,0)</f>
        <v>0</v>
      </c>
      <c r="M31" s="1" t="str">
        <f>VLOOKUP(uslugi41315[[#This Row],[NIP]],nip_firm61416[],2,FALSE)</f>
        <v>MASPOL</v>
      </c>
      <c r="Q31">
        <v>2245871126</v>
      </c>
      <c r="R31" s="1" t="s">
        <v>1449</v>
      </c>
    </row>
    <row r="32" spans="1:18" x14ac:dyDescent="0.25">
      <c r="A32" s="5" t="s">
        <v>85</v>
      </c>
      <c r="B32" s="6" t="s">
        <v>86</v>
      </c>
      <c r="C32" s="6" t="s">
        <v>86</v>
      </c>
      <c r="D32" s="7" t="s">
        <v>22</v>
      </c>
      <c r="F32">
        <v>1433397952</v>
      </c>
      <c r="G32" s="1" t="s">
        <v>314</v>
      </c>
      <c r="H32" s="1" t="s">
        <v>1112</v>
      </c>
      <c r="I32" s="1" t="s">
        <v>1087</v>
      </c>
      <c r="J32">
        <v>2734</v>
      </c>
      <c r="K32" s="1" t="str">
        <f>VLOOKUP(uslugi41315[[#This Row],[ozn]],$A$2:$D$410,2,FALSE)</f>
        <v>Konin</v>
      </c>
      <c r="L32" s="1">
        <f>IF(uslugi41315[[#This Row],[powiat]]="Konin",1,0)</f>
        <v>1</v>
      </c>
      <c r="M32" s="1" t="str">
        <f>VLOOKUP(uslugi41315[[#This Row],[NIP]],nip_firm61416[],2,FALSE)</f>
        <v>BARTEX</v>
      </c>
      <c r="Q32">
        <v>5459753232</v>
      </c>
      <c r="R32" s="1" t="s">
        <v>1450</v>
      </c>
    </row>
    <row r="33" spans="1:18" x14ac:dyDescent="0.25">
      <c r="A33" s="2" t="s">
        <v>87</v>
      </c>
      <c r="B33" s="3" t="s">
        <v>88</v>
      </c>
      <c r="C33" s="3" t="s">
        <v>89</v>
      </c>
      <c r="D33" s="4" t="s">
        <v>7</v>
      </c>
      <c r="F33">
        <v>3783578981</v>
      </c>
      <c r="G33" s="1" t="s">
        <v>405</v>
      </c>
      <c r="H33" s="1" t="s">
        <v>1113</v>
      </c>
      <c r="I33" s="1" t="s">
        <v>1081</v>
      </c>
      <c r="J33">
        <v>1935</v>
      </c>
      <c r="K33" s="1" t="str">
        <f>VLOOKUP(uslugi41315[[#This Row],[ozn]],$A$2:$D$410,2,FALSE)</f>
        <v>Lodz</v>
      </c>
      <c r="L33" s="1">
        <f>IF(uslugi41315[[#This Row],[powiat]]="Konin",1,0)</f>
        <v>0</v>
      </c>
      <c r="M33" s="1" t="str">
        <f>VLOOKUP(uslugi41315[[#This Row],[NIP]],nip_firm61416[],2,FALSE)</f>
        <v>LUBEX</v>
      </c>
      <c r="Q33">
        <v>5514533376</v>
      </c>
      <c r="R33" s="1" t="s">
        <v>1451</v>
      </c>
    </row>
    <row r="34" spans="1:18" x14ac:dyDescent="0.25">
      <c r="A34" s="5" t="s">
        <v>90</v>
      </c>
      <c r="B34" s="6" t="s">
        <v>91</v>
      </c>
      <c r="C34" s="6" t="s">
        <v>86</v>
      </c>
      <c r="D34" s="7" t="s">
        <v>7</v>
      </c>
      <c r="F34">
        <v>2581219876</v>
      </c>
      <c r="G34" s="1" t="s">
        <v>141</v>
      </c>
      <c r="H34" s="1" t="s">
        <v>1114</v>
      </c>
      <c r="I34" s="1" t="s">
        <v>1087</v>
      </c>
      <c r="J34">
        <v>2818</v>
      </c>
      <c r="K34" s="1" t="str">
        <f>VLOOKUP(uslugi41315[[#This Row],[ozn]],$A$2:$D$410,2,FALSE)</f>
        <v>elblaski</v>
      </c>
      <c r="L34" s="1">
        <f>IF(uslugi41315[[#This Row],[powiat]]="Konin",1,0)</f>
        <v>0</v>
      </c>
      <c r="M34" s="1" t="str">
        <f>VLOOKUP(uslugi41315[[#This Row],[NIP]],nip_firm61416[],2,FALSE)</f>
        <v>TECH-MASZ</v>
      </c>
      <c r="Q34">
        <v>1820566794</v>
      </c>
      <c r="R34" s="1" t="s">
        <v>1452</v>
      </c>
    </row>
    <row r="35" spans="1:18" x14ac:dyDescent="0.25">
      <c r="A35" s="2" t="s">
        <v>92</v>
      </c>
      <c r="B35" s="3" t="s">
        <v>93</v>
      </c>
      <c r="C35" s="3" t="s">
        <v>94</v>
      </c>
      <c r="D35" s="4" t="s">
        <v>7</v>
      </c>
      <c r="F35">
        <v>4796841112</v>
      </c>
      <c r="G35" s="1" t="s">
        <v>533</v>
      </c>
      <c r="H35" s="1" t="s">
        <v>1115</v>
      </c>
      <c r="I35" s="1" t="s">
        <v>1081</v>
      </c>
      <c r="J35">
        <v>2668</v>
      </c>
      <c r="K35" s="1" t="str">
        <f>VLOOKUP(uslugi41315[[#This Row],[ozn]],$A$2:$D$410,2,FALSE)</f>
        <v>olawski</v>
      </c>
      <c r="L35" s="1">
        <f>IF(uslugi41315[[#This Row],[powiat]]="Konin",1,0)</f>
        <v>0</v>
      </c>
      <c r="M35" s="1" t="str">
        <f>VLOOKUP(uslugi41315[[#This Row],[NIP]],nip_firm61416[],2,FALSE)</f>
        <v>WARM S. A.</v>
      </c>
      <c r="Q35">
        <v>3783578981</v>
      </c>
      <c r="R35" s="1" t="s">
        <v>1453</v>
      </c>
    </row>
    <row r="36" spans="1:18" x14ac:dyDescent="0.25">
      <c r="A36" s="5" t="s">
        <v>95</v>
      </c>
      <c r="B36" s="6" t="s">
        <v>96</v>
      </c>
      <c r="C36" s="6" t="s">
        <v>97</v>
      </c>
      <c r="D36" s="7" t="s">
        <v>7</v>
      </c>
      <c r="F36">
        <v>4715154852</v>
      </c>
      <c r="G36" s="1" t="s">
        <v>1003</v>
      </c>
      <c r="H36" s="1" t="s">
        <v>1116</v>
      </c>
      <c r="I36" s="1" t="s">
        <v>1087</v>
      </c>
      <c r="J36">
        <v>2700</v>
      </c>
      <c r="K36" s="1" t="str">
        <f>VLOOKUP(uslugi41315[[#This Row],[ozn]],$A$2:$D$410,2,FALSE)</f>
        <v>Wroclaw</v>
      </c>
      <c r="L36" s="1">
        <f>IF(uslugi41315[[#This Row],[powiat]]="Konin",1,0)</f>
        <v>0</v>
      </c>
      <c r="M36" s="1" t="str">
        <f>VLOOKUP(uslugi41315[[#This Row],[NIP]],nip_firm61416[],2,FALSE)</f>
        <v>NAFTO-GAZ</v>
      </c>
      <c r="Q36">
        <v>1127056356</v>
      </c>
      <c r="R36" s="1" t="s">
        <v>1454</v>
      </c>
    </row>
    <row r="37" spans="1:18" x14ac:dyDescent="0.25">
      <c r="A37" s="2" t="s">
        <v>98</v>
      </c>
      <c r="B37" s="3" t="s">
        <v>99</v>
      </c>
      <c r="C37" s="3" t="s">
        <v>99</v>
      </c>
      <c r="D37" s="4" t="s">
        <v>22</v>
      </c>
      <c r="F37">
        <v>4241680809</v>
      </c>
      <c r="G37" s="1" t="s">
        <v>14</v>
      </c>
      <c r="H37" s="1" t="s">
        <v>1117</v>
      </c>
      <c r="I37" s="1" t="s">
        <v>1087</v>
      </c>
      <c r="J37">
        <v>2496</v>
      </c>
      <c r="K37" s="1" t="str">
        <f>VLOOKUP(uslugi41315[[#This Row],[ozn]],$A$2:$D$410,2,FALSE)</f>
        <v>bedzinski</v>
      </c>
      <c r="L37" s="1">
        <f>IF(uslugi41315[[#This Row],[powiat]]="Konin",1,0)</f>
        <v>0</v>
      </c>
      <c r="M37" s="1" t="str">
        <f>VLOOKUP(uslugi41315[[#This Row],[NIP]],nip_firm61416[],2,FALSE)</f>
        <v>WROCBUD4</v>
      </c>
      <c r="Q37">
        <v>1278408463</v>
      </c>
      <c r="R37" s="1" t="s">
        <v>1455</v>
      </c>
    </row>
    <row r="38" spans="1:18" x14ac:dyDescent="0.25">
      <c r="A38" s="5" t="s">
        <v>100</v>
      </c>
      <c r="B38" s="6" t="s">
        <v>101</v>
      </c>
      <c r="C38" s="6" t="s">
        <v>102</v>
      </c>
      <c r="D38" s="7" t="s">
        <v>7</v>
      </c>
      <c r="F38">
        <v>1617995032</v>
      </c>
      <c r="G38" s="1" t="s">
        <v>892</v>
      </c>
      <c r="H38" s="1" t="s">
        <v>1118</v>
      </c>
      <c r="I38" s="1" t="s">
        <v>1087</v>
      </c>
      <c r="J38">
        <v>2148</v>
      </c>
      <c r="K38" s="1" t="str">
        <f>VLOOKUP(uslugi41315[[#This Row],[ozn]],$A$2:$D$410,2,FALSE)</f>
        <v>turecki</v>
      </c>
      <c r="L38" s="1">
        <f>IF(uslugi41315[[#This Row],[powiat]]="Konin",1,0)</f>
        <v>0</v>
      </c>
      <c r="M38" s="1" t="str">
        <f>VLOOKUP(uslugi41315[[#This Row],[NIP]],nip_firm61416[],2,FALSE)</f>
        <v>RENOWATOR</v>
      </c>
      <c r="Q38">
        <v>3866883575</v>
      </c>
      <c r="R38" s="1" t="s">
        <v>1456</v>
      </c>
    </row>
    <row r="39" spans="1:18" x14ac:dyDescent="0.25">
      <c r="A39" s="2" t="s">
        <v>103</v>
      </c>
      <c r="B39" s="3" t="s">
        <v>104</v>
      </c>
      <c r="C39" s="3" t="s">
        <v>105</v>
      </c>
      <c r="D39" s="4" t="s">
        <v>7</v>
      </c>
      <c r="F39">
        <v>1433397952</v>
      </c>
      <c r="G39" s="1" t="s">
        <v>314</v>
      </c>
      <c r="H39" s="1" t="s">
        <v>1119</v>
      </c>
      <c r="I39" s="1" t="s">
        <v>1081</v>
      </c>
      <c r="J39">
        <v>2160</v>
      </c>
      <c r="K39" s="1" t="str">
        <f>VLOOKUP(uslugi41315[[#This Row],[ozn]],$A$2:$D$410,2,FALSE)</f>
        <v>Konin</v>
      </c>
      <c r="L39" s="1">
        <f>IF(uslugi41315[[#This Row],[powiat]]="Konin",1,0)</f>
        <v>1</v>
      </c>
      <c r="M39" s="1" t="str">
        <f>VLOOKUP(uslugi41315[[#This Row],[NIP]],nip_firm61416[],2,FALSE)</f>
        <v>BARTEX</v>
      </c>
      <c r="Q39">
        <v>2138598159</v>
      </c>
      <c r="R39" s="1" t="s">
        <v>1457</v>
      </c>
    </row>
    <row r="40" spans="1:18" x14ac:dyDescent="0.25">
      <c r="A40" s="5" t="s">
        <v>106</v>
      </c>
      <c r="B40" s="6" t="s">
        <v>107</v>
      </c>
      <c r="C40" s="6" t="s">
        <v>108</v>
      </c>
      <c r="D40" s="7" t="s">
        <v>7</v>
      </c>
      <c r="F40">
        <v>4326751508</v>
      </c>
      <c r="G40" s="1" t="s">
        <v>405</v>
      </c>
      <c r="H40" s="1" t="s">
        <v>1120</v>
      </c>
      <c r="I40" s="1" t="s">
        <v>1087</v>
      </c>
      <c r="J40">
        <v>2056</v>
      </c>
      <c r="K40" s="1" t="str">
        <f>VLOOKUP(uslugi41315[[#This Row],[ozn]],$A$2:$D$410,2,FALSE)</f>
        <v>Lodz</v>
      </c>
      <c r="L40" s="1">
        <f>IF(uslugi41315[[#This Row],[powiat]]="Konin",1,0)</f>
        <v>0</v>
      </c>
      <c r="M40" s="1" t="str">
        <f>VLOOKUP(uslugi41315[[#This Row],[NIP]],nip_firm61416[],2,FALSE)</f>
        <v>WROCBUD2</v>
      </c>
      <c r="Q40">
        <v>2119268767</v>
      </c>
      <c r="R40" s="1" t="s">
        <v>1458</v>
      </c>
    </row>
    <row r="41" spans="1:18" x14ac:dyDescent="0.25">
      <c r="A41" s="2" t="s">
        <v>109</v>
      </c>
      <c r="B41" s="3" t="s">
        <v>110</v>
      </c>
      <c r="C41" s="3" t="s">
        <v>111</v>
      </c>
      <c r="D41" s="4" t="s">
        <v>7</v>
      </c>
      <c r="F41">
        <v>1246489959</v>
      </c>
      <c r="G41" s="1" t="s">
        <v>14</v>
      </c>
      <c r="H41" s="1" t="s">
        <v>1121</v>
      </c>
      <c r="I41" s="1" t="s">
        <v>1087</v>
      </c>
      <c r="J41">
        <v>1812</v>
      </c>
      <c r="K41" s="1" t="str">
        <f>VLOOKUP(uslugi41315[[#This Row],[ozn]],$A$2:$D$410,2,FALSE)</f>
        <v>bedzinski</v>
      </c>
      <c r="L41" s="1">
        <f>IF(uslugi41315[[#This Row],[powiat]]="Konin",1,0)</f>
        <v>0</v>
      </c>
      <c r="M41" s="1" t="str">
        <f>VLOOKUP(uslugi41315[[#This Row],[NIP]],nip_firm61416[],2,FALSE)</f>
        <v>MIEDZYRZECZ</v>
      </c>
      <c r="Q41">
        <v>1433397952</v>
      </c>
      <c r="R41" s="1" t="s">
        <v>1459</v>
      </c>
    </row>
    <row r="42" spans="1:18" x14ac:dyDescent="0.25">
      <c r="A42" s="5" t="s">
        <v>112</v>
      </c>
      <c r="B42" s="6" t="s">
        <v>113</v>
      </c>
      <c r="C42" s="6" t="s">
        <v>114</v>
      </c>
      <c r="D42" s="7" t="s">
        <v>7</v>
      </c>
      <c r="F42">
        <v>4241680809</v>
      </c>
      <c r="G42" s="1" t="s">
        <v>14</v>
      </c>
      <c r="H42" s="1" t="s">
        <v>1122</v>
      </c>
      <c r="I42" s="1" t="s">
        <v>1087</v>
      </c>
      <c r="J42">
        <v>2664</v>
      </c>
      <c r="K42" s="1" t="str">
        <f>VLOOKUP(uslugi41315[[#This Row],[ozn]],$A$2:$D$410,2,FALSE)</f>
        <v>bedzinski</v>
      </c>
      <c r="L42" s="1">
        <f>IF(uslugi41315[[#This Row],[powiat]]="Konin",1,0)</f>
        <v>0</v>
      </c>
      <c r="M42" s="1" t="str">
        <f>VLOOKUP(uslugi41315[[#This Row],[NIP]],nip_firm61416[],2,FALSE)</f>
        <v>WROCBUD4</v>
      </c>
      <c r="Q42">
        <v>3568004264</v>
      </c>
      <c r="R42" s="1" t="s">
        <v>1460</v>
      </c>
    </row>
    <row r="43" spans="1:18" x14ac:dyDescent="0.25">
      <c r="A43" s="2" t="s">
        <v>115</v>
      </c>
      <c r="B43" s="3" t="s">
        <v>116</v>
      </c>
      <c r="C43" s="3" t="s">
        <v>116</v>
      </c>
      <c r="D43" s="4" t="s">
        <v>22</v>
      </c>
      <c r="F43">
        <v>3470453173</v>
      </c>
      <c r="G43" s="1" t="s">
        <v>85</v>
      </c>
      <c r="H43" s="1" t="s">
        <v>1123</v>
      </c>
      <c r="I43" s="1" t="s">
        <v>1087</v>
      </c>
      <c r="J43">
        <v>2872</v>
      </c>
      <c r="K43" s="1" t="str">
        <f>VLOOKUP(uslugi41315[[#This Row],[ozn]],$A$2:$D$410,2,FALSE)</f>
        <v>Chelm</v>
      </c>
      <c r="L43" s="1">
        <f>IF(uslugi41315[[#This Row],[powiat]]="Konin",1,0)</f>
        <v>0</v>
      </c>
      <c r="M43" s="1" t="str">
        <f>VLOOKUP(uslugi41315[[#This Row],[NIP]],nip_firm61416[],2,FALSE)</f>
        <v>MASPOL</v>
      </c>
      <c r="Q43">
        <v>4779174699</v>
      </c>
      <c r="R43" s="1" t="s">
        <v>1461</v>
      </c>
    </row>
    <row r="44" spans="1:18" x14ac:dyDescent="0.25">
      <c r="A44" s="5" t="s">
        <v>117</v>
      </c>
      <c r="B44" s="6" t="s">
        <v>118</v>
      </c>
      <c r="C44" s="6" t="s">
        <v>116</v>
      </c>
      <c r="D44" s="7" t="s">
        <v>7</v>
      </c>
      <c r="F44">
        <v>3568004264</v>
      </c>
      <c r="G44" s="1" t="s">
        <v>428</v>
      </c>
      <c r="H44" s="1" t="s">
        <v>1124</v>
      </c>
      <c r="I44" s="1" t="s">
        <v>1087</v>
      </c>
      <c r="J44">
        <v>1928</v>
      </c>
      <c r="K44" s="1" t="str">
        <f>VLOOKUP(uslugi41315[[#This Row],[ozn]],$A$2:$D$410,2,FALSE)</f>
        <v>lubelski</v>
      </c>
      <c r="L44" s="1">
        <f>IF(uslugi41315[[#This Row],[powiat]]="Konin",1,0)</f>
        <v>0</v>
      </c>
      <c r="M44" s="1" t="str">
        <f>VLOOKUP(uslugi41315[[#This Row],[NIP]],nip_firm61416[],2,FALSE)</f>
        <v>MURATOR</v>
      </c>
      <c r="Q44">
        <v>3357631311</v>
      </c>
      <c r="R44" s="1" t="s">
        <v>1462</v>
      </c>
    </row>
    <row r="45" spans="1:18" x14ac:dyDescent="0.25">
      <c r="A45" s="2" t="s">
        <v>119</v>
      </c>
      <c r="B45" s="3" t="s">
        <v>120</v>
      </c>
      <c r="C45" s="3" t="s">
        <v>121</v>
      </c>
      <c r="D45" s="4" t="s">
        <v>7</v>
      </c>
      <c r="F45">
        <v>1617995032</v>
      </c>
      <c r="G45" s="1" t="s">
        <v>892</v>
      </c>
      <c r="H45" s="1" t="s">
        <v>1125</v>
      </c>
      <c r="I45" s="1" t="s">
        <v>1087</v>
      </c>
      <c r="J45">
        <v>2194</v>
      </c>
      <c r="K45" s="1" t="str">
        <f>VLOOKUP(uslugi41315[[#This Row],[ozn]],$A$2:$D$410,2,FALSE)</f>
        <v>turecki</v>
      </c>
      <c r="L45" s="1">
        <f>IF(uslugi41315[[#This Row],[powiat]]="Konin",1,0)</f>
        <v>0</v>
      </c>
      <c r="M45" s="1" t="str">
        <f>VLOOKUP(uslugi41315[[#This Row],[NIP]],nip_firm61416[],2,FALSE)</f>
        <v>RENOWATOR</v>
      </c>
      <c r="Q45">
        <v>2281651150</v>
      </c>
      <c r="R45" s="1" t="s">
        <v>1463</v>
      </c>
    </row>
    <row r="46" spans="1:18" x14ac:dyDescent="0.25">
      <c r="A46" s="5" t="s">
        <v>122</v>
      </c>
      <c r="B46" s="6" t="s">
        <v>123</v>
      </c>
      <c r="C46" s="6" t="s">
        <v>123</v>
      </c>
      <c r="D46" s="7" t="s">
        <v>22</v>
      </c>
      <c r="F46">
        <v>2119268767</v>
      </c>
      <c r="G46" s="1" t="s">
        <v>141</v>
      </c>
      <c r="H46" s="1" t="s">
        <v>1126</v>
      </c>
      <c r="I46" s="1" t="s">
        <v>1087</v>
      </c>
      <c r="J46">
        <v>2114</v>
      </c>
      <c r="K46" s="1" t="str">
        <f>VLOOKUP(uslugi41315[[#This Row],[ozn]],$A$2:$D$410,2,FALSE)</f>
        <v>elblaski</v>
      </c>
      <c r="L46" s="1">
        <f>IF(uslugi41315[[#This Row],[powiat]]="Konin",1,0)</f>
        <v>0</v>
      </c>
      <c r="M46" s="1" t="str">
        <f>VLOOKUP(uslugi41315[[#This Row],[NIP]],nip_firm61416[],2,FALSE)</f>
        <v>PETROLEUM</v>
      </c>
      <c r="Q46">
        <v>1939065269</v>
      </c>
      <c r="R46" s="1" t="s">
        <v>1464</v>
      </c>
    </row>
    <row r="47" spans="1:18" x14ac:dyDescent="0.25">
      <c r="A47" s="2" t="s">
        <v>124</v>
      </c>
      <c r="B47" s="3" t="s">
        <v>125</v>
      </c>
      <c r="C47" s="3" t="s">
        <v>126</v>
      </c>
      <c r="D47" s="4" t="s">
        <v>7</v>
      </c>
      <c r="F47">
        <v>5341884086</v>
      </c>
      <c r="G47" s="1" t="s">
        <v>270</v>
      </c>
      <c r="H47" s="1" t="s">
        <v>1127</v>
      </c>
      <c r="I47" s="1" t="s">
        <v>1087</v>
      </c>
      <c r="J47">
        <v>2364</v>
      </c>
      <c r="K47" s="1" t="str">
        <f>VLOOKUP(uslugi41315[[#This Row],[ozn]],$A$2:$D$410,2,FALSE)</f>
        <v>Katowice</v>
      </c>
      <c r="L47" s="1">
        <f>IF(uslugi41315[[#This Row],[powiat]]="Konin",1,0)</f>
        <v>0</v>
      </c>
      <c r="M47" s="1" t="str">
        <f>VLOOKUP(uslugi41315[[#This Row],[NIP]],nip_firm61416[],2,FALSE)</f>
        <v>SENIN</v>
      </c>
      <c r="Q47">
        <v>5115061689</v>
      </c>
      <c r="R47" s="1" t="s">
        <v>1465</v>
      </c>
    </row>
    <row r="48" spans="1:18" x14ac:dyDescent="0.25">
      <c r="A48" s="5" t="s">
        <v>127</v>
      </c>
      <c r="B48" s="6" t="s">
        <v>128</v>
      </c>
      <c r="C48" s="6" t="s">
        <v>129</v>
      </c>
      <c r="D48" s="7" t="s">
        <v>7</v>
      </c>
      <c r="F48">
        <v>4779174699</v>
      </c>
      <c r="G48" s="1" t="s">
        <v>1003</v>
      </c>
      <c r="H48" s="1" t="s">
        <v>1128</v>
      </c>
      <c r="I48" s="1" t="s">
        <v>1087</v>
      </c>
      <c r="J48">
        <v>2462</v>
      </c>
      <c r="K48" s="1" t="str">
        <f>VLOOKUP(uslugi41315[[#This Row],[ozn]],$A$2:$D$410,2,FALSE)</f>
        <v>Wroclaw</v>
      </c>
      <c r="L48" s="1">
        <f>IF(uslugi41315[[#This Row],[powiat]]="Konin",1,0)</f>
        <v>0</v>
      </c>
      <c r="M48" s="1" t="str">
        <f>VLOOKUP(uslugi41315[[#This Row],[NIP]],nip_firm61416[],2,FALSE)</f>
        <v>FASO</v>
      </c>
      <c r="Q48">
        <v>4796841112</v>
      </c>
      <c r="R48" s="1" t="s">
        <v>1466</v>
      </c>
    </row>
    <row r="49" spans="1:18" x14ac:dyDescent="0.25">
      <c r="A49" s="2" t="s">
        <v>130</v>
      </c>
      <c r="B49" s="3" t="s">
        <v>131</v>
      </c>
      <c r="C49" s="3" t="s">
        <v>132</v>
      </c>
      <c r="D49" s="4" t="s">
        <v>7</v>
      </c>
      <c r="F49">
        <v>1939065269</v>
      </c>
      <c r="G49" s="1" t="s">
        <v>636</v>
      </c>
      <c r="H49" s="1" t="s">
        <v>1129</v>
      </c>
      <c r="I49" s="1" t="s">
        <v>1087</v>
      </c>
      <c r="J49">
        <v>2696</v>
      </c>
      <c r="K49" s="1" t="str">
        <f>VLOOKUP(uslugi41315[[#This Row],[ozn]],$A$2:$D$410,2,FALSE)</f>
        <v>Poznan</v>
      </c>
      <c r="L49" s="1">
        <f>IF(uslugi41315[[#This Row],[powiat]]="Konin",1,0)</f>
        <v>0</v>
      </c>
      <c r="M49" s="1" t="str">
        <f>VLOOKUP(uslugi41315[[#This Row],[NIP]],nip_firm61416[],2,FALSE)</f>
        <v>KUSTMASZ</v>
      </c>
      <c r="Q49">
        <v>1617995032</v>
      </c>
      <c r="R49" s="1" t="s">
        <v>1467</v>
      </c>
    </row>
    <row r="50" spans="1:18" x14ac:dyDescent="0.25">
      <c r="A50" s="5" t="s">
        <v>133</v>
      </c>
      <c r="B50" s="6" t="s">
        <v>134</v>
      </c>
      <c r="C50" s="6" t="s">
        <v>135</v>
      </c>
      <c r="D50" s="7" t="s">
        <v>7</v>
      </c>
      <c r="F50">
        <v>1939065269</v>
      </c>
      <c r="G50" s="1" t="s">
        <v>636</v>
      </c>
      <c r="H50" s="1" t="s">
        <v>1130</v>
      </c>
      <c r="I50" s="1" t="s">
        <v>1081</v>
      </c>
      <c r="J50">
        <v>2073</v>
      </c>
      <c r="K50" s="1" t="str">
        <f>VLOOKUP(uslugi41315[[#This Row],[ozn]],$A$2:$D$410,2,FALSE)</f>
        <v>Poznan</v>
      </c>
      <c r="L50" s="1">
        <f>IF(uslugi41315[[#This Row],[powiat]]="Konin",1,0)</f>
        <v>0</v>
      </c>
      <c r="M50" s="1" t="str">
        <f>VLOOKUP(uslugi41315[[#This Row],[NIP]],nip_firm61416[],2,FALSE)</f>
        <v>KUSTMASZ</v>
      </c>
      <c r="Q50">
        <v>2214740049</v>
      </c>
      <c r="R50" s="1" t="s">
        <v>1468</v>
      </c>
    </row>
    <row r="51" spans="1:18" x14ac:dyDescent="0.25">
      <c r="A51" s="2" t="s">
        <v>136</v>
      </c>
      <c r="B51" s="3" t="s">
        <v>137</v>
      </c>
      <c r="C51" s="3" t="s">
        <v>138</v>
      </c>
      <c r="D51" s="4" t="s">
        <v>7</v>
      </c>
      <c r="F51">
        <v>5459753232</v>
      </c>
      <c r="G51" s="1" t="s">
        <v>737</v>
      </c>
      <c r="H51" s="1" t="s">
        <v>1131</v>
      </c>
      <c r="I51" s="1" t="s">
        <v>1087</v>
      </c>
      <c r="J51">
        <v>1629</v>
      </c>
      <c r="K51" s="1" t="str">
        <f>VLOOKUP(uslugi41315[[#This Row],[ozn]],$A$2:$D$410,2,FALSE)</f>
        <v>siemiatycki</v>
      </c>
      <c r="L51" s="1">
        <f>IF(uslugi41315[[#This Row],[powiat]]="Konin",1,0)</f>
        <v>0</v>
      </c>
      <c r="M51" s="1" t="str">
        <f>VLOOKUP(uslugi41315[[#This Row],[NIP]],nip_firm61416[],2,FALSE)</f>
        <v>TARGOR</v>
      </c>
      <c r="Q51">
        <v>1620242236</v>
      </c>
      <c r="R51" s="1" t="s">
        <v>1469</v>
      </c>
    </row>
    <row r="52" spans="1:18" x14ac:dyDescent="0.25">
      <c r="A52" s="5" t="s">
        <v>139</v>
      </c>
      <c r="B52" s="6" t="s">
        <v>140</v>
      </c>
      <c r="C52" s="6" t="s">
        <v>140</v>
      </c>
      <c r="D52" s="7" t="s">
        <v>22</v>
      </c>
      <c r="F52">
        <v>4761158900</v>
      </c>
      <c r="G52" s="1" t="s">
        <v>294</v>
      </c>
      <c r="H52" s="1" t="s">
        <v>1132</v>
      </c>
      <c r="I52" s="1" t="s">
        <v>1087</v>
      </c>
      <c r="J52">
        <v>2139</v>
      </c>
      <c r="K52" s="1" t="str">
        <f>VLOOKUP(uslugi41315[[#This Row],[ozn]],$A$2:$D$410,2,FALSE)</f>
        <v>kluczborski</v>
      </c>
      <c r="L52" s="1">
        <f>IF(uslugi41315[[#This Row],[powiat]]="Konin",1,0)</f>
        <v>0</v>
      </c>
      <c r="M52" s="1" t="str">
        <f>VLOOKUP(uslugi41315[[#This Row],[NIP]],nip_firm61416[],2,FALSE)</f>
        <v>WROCBUD3</v>
      </c>
      <c r="Q52">
        <v>3579231044</v>
      </c>
      <c r="R52" s="1" t="s">
        <v>1470</v>
      </c>
    </row>
    <row r="53" spans="1:18" x14ac:dyDescent="0.25">
      <c r="A53" s="2" t="s">
        <v>141</v>
      </c>
      <c r="B53" s="3" t="s">
        <v>142</v>
      </c>
      <c r="C53" s="3" t="s">
        <v>140</v>
      </c>
      <c r="D53" s="4" t="s">
        <v>7</v>
      </c>
      <c r="F53">
        <v>1127056356</v>
      </c>
      <c r="G53" s="1" t="s">
        <v>317</v>
      </c>
      <c r="H53" s="1" t="s">
        <v>1133</v>
      </c>
      <c r="I53" s="1" t="s">
        <v>1087</v>
      </c>
      <c r="J53">
        <v>2944</v>
      </c>
      <c r="K53" s="1" t="str">
        <f>VLOOKUP(uslugi41315[[#This Row],[ozn]],$A$2:$D$410,2,FALSE)</f>
        <v>koscianski</v>
      </c>
      <c r="L53" s="1">
        <f>IF(uslugi41315[[#This Row],[powiat]]="Konin",1,0)</f>
        <v>0</v>
      </c>
      <c r="M53" s="1" t="str">
        <f>VLOOKUP(uslugi41315[[#This Row],[NIP]],nip_firm61416[],2,FALSE)</f>
        <v>KONSBET</v>
      </c>
      <c r="Q53">
        <v>6727559092</v>
      </c>
      <c r="R53" s="1" t="s">
        <v>1471</v>
      </c>
    </row>
    <row r="54" spans="1:18" x14ac:dyDescent="0.25">
      <c r="A54" s="5" t="s">
        <v>143</v>
      </c>
      <c r="B54" s="6" t="s">
        <v>144</v>
      </c>
      <c r="C54" s="6" t="s">
        <v>145</v>
      </c>
      <c r="D54" s="7" t="s">
        <v>7</v>
      </c>
      <c r="F54">
        <v>1361555378</v>
      </c>
      <c r="G54" s="1" t="s">
        <v>270</v>
      </c>
      <c r="H54" s="1" t="s">
        <v>1134</v>
      </c>
      <c r="I54" s="1" t="s">
        <v>1081</v>
      </c>
      <c r="J54">
        <v>2250</v>
      </c>
      <c r="K54" s="1" t="str">
        <f>VLOOKUP(uslugi41315[[#This Row],[ozn]],$A$2:$D$410,2,FALSE)</f>
        <v>Katowice</v>
      </c>
      <c r="L54" s="1">
        <f>IF(uslugi41315[[#This Row],[powiat]]="Konin",1,0)</f>
        <v>0</v>
      </c>
      <c r="M54" s="1" t="str">
        <f>VLOOKUP(uslugi41315[[#This Row],[NIP]],nip_firm61416[],2,FALSE)</f>
        <v>OSTOPOL</v>
      </c>
      <c r="Q54">
        <v>4956781088</v>
      </c>
      <c r="R54" s="1" t="s">
        <v>1472</v>
      </c>
    </row>
    <row r="55" spans="1:18" x14ac:dyDescent="0.25">
      <c r="A55" s="2" t="s">
        <v>146</v>
      </c>
      <c r="B55" s="3" t="s">
        <v>147</v>
      </c>
      <c r="C55" s="3" t="s">
        <v>148</v>
      </c>
      <c r="D55" s="4" t="s">
        <v>7</v>
      </c>
      <c r="F55">
        <v>1278408463</v>
      </c>
      <c r="G55" s="1" t="s">
        <v>314</v>
      </c>
      <c r="H55" s="1" t="s">
        <v>1135</v>
      </c>
      <c r="I55" s="1" t="s">
        <v>1087</v>
      </c>
      <c r="J55">
        <v>2190</v>
      </c>
      <c r="K55" s="1" t="str">
        <f>VLOOKUP(uslugi41315[[#This Row],[ozn]],$A$2:$D$410,2,FALSE)</f>
        <v>Konin</v>
      </c>
      <c r="L55" s="1">
        <f>IF(uslugi41315[[#This Row],[powiat]]="Konin",1,0)</f>
        <v>1</v>
      </c>
      <c r="M55" s="1" t="str">
        <f>VLOOKUP(uslugi41315[[#This Row],[NIP]],nip_firm61416[],2,FALSE)</f>
        <v>REFAMUR</v>
      </c>
      <c r="Q55">
        <v>4715154852</v>
      </c>
      <c r="R55" s="1" t="s">
        <v>1473</v>
      </c>
    </row>
    <row r="56" spans="1:18" x14ac:dyDescent="0.25">
      <c r="A56" s="5" t="s">
        <v>149</v>
      </c>
      <c r="B56" s="6" t="s">
        <v>150</v>
      </c>
      <c r="C56" s="6" t="s">
        <v>150</v>
      </c>
      <c r="D56" s="7" t="s">
        <v>22</v>
      </c>
      <c r="F56">
        <v>3114182744</v>
      </c>
      <c r="G56" s="1" t="s">
        <v>270</v>
      </c>
      <c r="H56" s="1" t="s">
        <v>1136</v>
      </c>
      <c r="I56" s="1" t="s">
        <v>1087</v>
      </c>
      <c r="J56">
        <v>2074</v>
      </c>
      <c r="K56" s="1" t="str">
        <f>VLOOKUP(uslugi41315[[#This Row],[ozn]],$A$2:$D$410,2,FALSE)</f>
        <v>Katowice</v>
      </c>
      <c r="L56" s="1">
        <f>IF(uslugi41315[[#This Row],[powiat]]="Konin",1,0)</f>
        <v>0</v>
      </c>
      <c r="M56" s="1" t="str">
        <f>VLOOKUP(uslugi41315[[#This Row],[NIP]],nip_firm61416[],2,FALSE)</f>
        <v>SZCZEBRZESZYN</v>
      </c>
      <c r="Q56">
        <v>2581219876</v>
      </c>
      <c r="R56" s="1" t="s">
        <v>1474</v>
      </c>
    </row>
    <row r="57" spans="1:18" x14ac:dyDescent="0.25">
      <c r="A57" s="2" t="s">
        <v>151</v>
      </c>
      <c r="B57" s="3" t="s">
        <v>152</v>
      </c>
      <c r="C57" s="3" t="s">
        <v>153</v>
      </c>
      <c r="D57" s="4" t="s">
        <v>7</v>
      </c>
      <c r="F57">
        <v>4458233905</v>
      </c>
      <c r="G57" s="1" t="s">
        <v>1003</v>
      </c>
      <c r="H57" s="1" t="s">
        <v>1137</v>
      </c>
      <c r="I57" s="1" t="s">
        <v>1081</v>
      </c>
      <c r="J57">
        <v>1200</v>
      </c>
      <c r="K57" s="1" t="str">
        <f>VLOOKUP(uslugi41315[[#This Row],[ozn]],$A$2:$D$410,2,FALSE)</f>
        <v>Wroclaw</v>
      </c>
      <c r="L57" s="1">
        <f>IF(uslugi41315[[#This Row],[powiat]]="Konin",1,0)</f>
        <v>0</v>
      </c>
      <c r="M57" s="1" t="str">
        <f>VLOOKUP(uslugi41315[[#This Row],[NIP]],nip_firm61416[],2,FALSE)</f>
        <v>WROCBUD1</v>
      </c>
      <c r="Q57">
        <v>3345883725</v>
      </c>
      <c r="R57" s="1" t="s">
        <v>1475</v>
      </c>
    </row>
    <row r="58" spans="1:18" x14ac:dyDescent="0.25">
      <c r="A58" s="5" t="s">
        <v>154</v>
      </c>
      <c r="B58" s="6" t="s">
        <v>155</v>
      </c>
      <c r="C58" s="6" t="s">
        <v>155</v>
      </c>
      <c r="D58" s="7" t="s">
        <v>22</v>
      </c>
      <c r="F58">
        <v>1617995032</v>
      </c>
      <c r="G58" s="1" t="s">
        <v>892</v>
      </c>
      <c r="H58" s="1" t="s">
        <v>1138</v>
      </c>
      <c r="I58" s="1" t="s">
        <v>1081</v>
      </c>
      <c r="J58">
        <v>1965</v>
      </c>
      <c r="K58" s="1" t="str">
        <f>VLOOKUP(uslugi41315[[#This Row],[ozn]],$A$2:$D$410,2,FALSE)</f>
        <v>turecki</v>
      </c>
      <c r="L58" s="1">
        <f>IF(uslugi41315[[#This Row],[powiat]]="Konin",1,0)</f>
        <v>0</v>
      </c>
      <c r="M58" s="1" t="str">
        <f>VLOOKUP(uslugi41315[[#This Row],[NIP]],nip_firm61416[],2,FALSE)</f>
        <v>RENOWATOR</v>
      </c>
      <c r="Q58">
        <v>5624201652</v>
      </c>
      <c r="R58" s="1" t="s">
        <v>1476</v>
      </c>
    </row>
    <row r="59" spans="1:18" x14ac:dyDescent="0.25">
      <c r="A59" s="2" t="s">
        <v>156</v>
      </c>
      <c r="B59" s="3" t="s">
        <v>157</v>
      </c>
      <c r="C59" s="3" t="s">
        <v>158</v>
      </c>
      <c r="D59" s="4" t="s">
        <v>7</v>
      </c>
      <c r="F59">
        <v>4761158900</v>
      </c>
      <c r="G59" s="1" t="s">
        <v>294</v>
      </c>
      <c r="H59" s="1" t="s">
        <v>1139</v>
      </c>
      <c r="I59" s="1" t="s">
        <v>1081</v>
      </c>
      <c r="J59">
        <v>1894</v>
      </c>
      <c r="K59" s="1" t="str">
        <f>VLOOKUP(uslugi41315[[#This Row],[ozn]],$A$2:$D$410,2,FALSE)</f>
        <v>kluczborski</v>
      </c>
      <c r="L59" s="1">
        <f>IF(uslugi41315[[#This Row],[powiat]]="Konin",1,0)</f>
        <v>0</v>
      </c>
      <c r="M59" s="1" t="str">
        <f>VLOOKUP(uslugi41315[[#This Row],[NIP]],nip_firm61416[],2,FALSE)</f>
        <v>WROCBUD3</v>
      </c>
      <c r="Q59">
        <v>5581610439</v>
      </c>
      <c r="R59" s="1" t="s">
        <v>1477</v>
      </c>
    </row>
    <row r="60" spans="1:18" x14ac:dyDescent="0.25">
      <c r="A60" s="5" t="s">
        <v>159</v>
      </c>
      <c r="B60" s="6" t="s">
        <v>160</v>
      </c>
      <c r="C60" s="6" t="s">
        <v>160</v>
      </c>
      <c r="D60" s="7" t="s">
        <v>22</v>
      </c>
      <c r="F60">
        <v>4241680809</v>
      </c>
      <c r="G60" s="1" t="s">
        <v>270</v>
      </c>
      <c r="H60" s="1" t="s">
        <v>1140</v>
      </c>
      <c r="I60" s="1" t="s">
        <v>1087</v>
      </c>
      <c r="J60">
        <v>1946</v>
      </c>
      <c r="K60" s="1" t="str">
        <f>VLOOKUP(uslugi41315[[#This Row],[ozn]],$A$2:$D$410,2,FALSE)</f>
        <v>Katowice</v>
      </c>
      <c r="L60" s="1">
        <f>IF(uslugi41315[[#This Row],[powiat]]="Konin",1,0)</f>
        <v>0</v>
      </c>
      <c r="M60" s="1" t="str">
        <f>VLOOKUP(uslugi41315[[#This Row],[NIP]],nip_firm61416[],2,FALSE)</f>
        <v>WROCBUD4</v>
      </c>
      <c r="Q60">
        <v>3470453173</v>
      </c>
      <c r="R60" s="1" t="s">
        <v>1478</v>
      </c>
    </row>
    <row r="61" spans="1:18" x14ac:dyDescent="0.25">
      <c r="A61" s="2" t="s">
        <v>161</v>
      </c>
      <c r="B61" s="3" t="s">
        <v>162</v>
      </c>
      <c r="C61" s="3" t="s">
        <v>160</v>
      </c>
      <c r="D61" s="4" t="s">
        <v>7</v>
      </c>
      <c r="F61">
        <v>1524870307</v>
      </c>
      <c r="G61" s="1" t="s">
        <v>270</v>
      </c>
      <c r="H61" s="1" t="s">
        <v>1141</v>
      </c>
      <c r="I61" s="1" t="s">
        <v>1081</v>
      </c>
      <c r="J61">
        <v>1810</v>
      </c>
      <c r="K61" s="1" t="str">
        <f>VLOOKUP(uslugi41315[[#This Row],[ozn]],$A$2:$D$410,2,FALSE)</f>
        <v>Katowice</v>
      </c>
      <c r="L61" s="1">
        <f>IF(uslugi41315[[#This Row],[powiat]]="Konin",1,0)</f>
        <v>0</v>
      </c>
      <c r="M61" s="1" t="str">
        <f>VLOOKUP(uslugi41315[[#This Row],[NIP]],nip_firm61416[],2,FALSE)</f>
        <v>NOTOM</v>
      </c>
      <c r="Q61">
        <v>6758177505</v>
      </c>
      <c r="R61" s="1" t="s">
        <v>1479</v>
      </c>
    </row>
    <row r="62" spans="1:18" x14ac:dyDescent="0.25">
      <c r="A62" s="5" t="s">
        <v>163</v>
      </c>
      <c r="B62" s="6" t="s">
        <v>164</v>
      </c>
      <c r="C62" s="6" t="s">
        <v>165</v>
      </c>
      <c r="D62" s="7" t="s">
        <v>7</v>
      </c>
      <c r="F62">
        <v>1818291355</v>
      </c>
      <c r="G62" s="1" t="s">
        <v>270</v>
      </c>
      <c r="H62" s="1" t="s">
        <v>1142</v>
      </c>
      <c r="I62" s="1" t="s">
        <v>1081</v>
      </c>
      <c r="J62">
        <v>2448</v>
      </c>
      <c r="K62" s="1" t="str">
        <f>VLOOKUP(uslugi41315[[#This Row],[ozn]],$A$2:$D$410,2,FALSE)</f>
        <v>Katowice</v>
      </c>
      <c r="L62" s="1">
        <f>IF(uslugi41315[[#This Row],[powiat]]="Konin",1,0)</f>
        <v>0</v>
      </c>
      <c r="M62" s="1" t="str">
        <f>VLOOKUP(uslugi41315[[#This Row],[NIP]],nip_firm61416[],2,FALSE)</f>
        <v>SZAMOT</v>
      </c>
    </row>
    <row r="63" spans="1:18" x14ac:dyDescent="0.25">
      <c r="A63" s="2" t="s">
        <v>166</v>
      </c>
      <c r="B63" s="3" t="s">
        <v>167</v>
      </c>
      <c r="C63" s="3" t="s">
        <v>168</v>
      </c>
      <c r="D63" s="4" t="s">
        <v>7</v>
      </c>
      <c r="F63">
        <v>4653095092</v>
      </c>
      <c r="G63" s="1" t="s">
        <v>527</v>
      </c>
      <c r="H63" s="1" t="s">
        <v>1143</v>
      </c>
      <c r="I63" s="1" t="s">
        <v>1087</v>
      </c>
      <c r="J63">
        <v>1995</v>
      </c>
      <c r="K63" s="1" t="str">
        <f>VLOOKUP(uslugi41315[[#This Row],[ozn]],$A$2:$D$410,2,FALSE)</f>
        <v>nyski</v>
      </c>
      <c r="L63" s="1">
        <f>IF(uslugi41315[[#This Row],[powiat]]="Konin",1,0)</f>
        <v>0</v>
      </c>
      <c r="M63" s="1" t="str">
        <f>VLOOKUP(uslugi41315[[#This Row],[NIP]],nip_firm61416[],2,FALSE)</f>
        <v>ZGORZELEC</v>
      </c>
    </row>
    <row r="64" spans="1:18" x14ac:dyDescent="0.25">
      <c r="A64" s="5" t="s">
        <v>169</v>
      </c>
      <c r="B64" s="6" t="s">
        <v>170</v>
      </c>
      <c r="C64" s="6" t="s">
        <v>171</v>
      </c>
      <c r="D64" s="7" t="s">
        <v>7</v>
      </c>
      <c r="F64">
        <v>6758177505</v>
      </c>
      <c r="G64" s="1" t="s">
        <v>869</v>
      </c>
      <c r="H64" s="1" t="s">
        <v>1144</v>
      </c>
      <c r="I64" s="1" t="s">
        <v>1081</v>
      </c>
      <c r="J64">
        <v>2216</v>
      </c>
      <c r="K64" s="1" t="str">
        <f>VLOOKUP(uslugi41315[[#This Row],[ozn]],$A$2:$D$410,2,FALSE)</f>
        <v>tarnowski</v>
      </c>
      <c r="L64" s="1">
        <f>IF(uslugi41315[[#This Row],[powiat]]="Konin",1,0)</f>
        <v>0</v>
      </c>
      <c r="M64" s="1" t="str">
        <f>VLOOKUP(uslugi41315[[#This Row],[NIP]],nip_firm61416[],2,FALSE)</f>
        <v>WERTIX</v>
      </c>
    </row>
    <row r="65" spans="1:13" x14ac:dyDescent="0.25">
      <c r="A65" s="2" t="s">
        <v>172</v>
      </c>
      <c r="B65" s="3" t="s">
        <v>173</v>
      </c>
      <c r="C65" s="3" t="s">
        <v>174</v>
      </c>
      <c r="D65" s="4" t="s">
        <v>7</v>
      </c>
      <c r="F65">
        <v>1278408463</v>
      </c>
      <c r="G65" s="1" t="s">
        <v>314</v>
      </c>
      <c r="H65" s="1" t="s">
        <v>1145</v>
      </c>
      <c r="I65" s="1" t="s">
        <v>1081</v>
      </c>
      <c r="J65">
        <v>2226</v>
      </c>
      <c r="K65" s="1" t="str">
        <f>VLOOKUP(uslugi41315[[#This Row],[ozn]],$A$2:$D$410,2,FALSE)</f>
        <v>Konin</v>
      </c>
      <c r="L65" s="1">
        <f>IF(uslugi41315[[#This Row],[powiat]]="Konin",1,0)</f>
        <v>1</v>
      </c>
      <c r="M65" s="1" t="str">
        <f>VLOOKUP(uslugi41315[[#This Row],[NIP]],nip_firm61416[],2,FALSE)</f>
        <v>REFAMUR</v>
      </c>
    </row>
    <row r="66" spans="1:13" x14ac:dyDescent="0.25">
      <c r="A66" s="5" t="s">
        <v>175</v>
      </c>
      <c r="B66" s="6" t="s">
        <v>176</v>
      </c>
      <c r="C66" s="6" t="s">
        <v>177</v>
      </c>
      <c r="D66" s="7" t="s">
        <v>7</v>
      </c>
      <c r="F66">
        <v>3318203338</v>
      </c>
      <c r="G66" s="1" t="s">
        <v>270</v>
      </c>
      <c r="H66" s="1" t="s">
        <v>1146</v>
      </c>
      <c r="I66" s="1" t="s">
        <v>1081</v>
      </c>
      <c r="J66">
        <v>2640</v>
      </c>
      <c r="K66" s="1" t="str">
        <f>VLOOKUP(uslugi41315[[#This Row],[ozn]],$A$2:$D$410,2,FALSE)</f>
        <v>Katowice</v>
      </c>
      <c r="L66" s="1">
        <f>IF(uslugi41315[[#This Row],[powiat]]="Konin",1,0)</f>
        <v>0</v>
      </c>
      <c r="M66" s="1" t="str">
        <f>VLOOKUP(uslugi41315[[#This Row],[NIP]],nip_firm61416[],2,FALSE)</f>
        <v>LUBLIN1</v>
      </c>
    </row>
    <row r="67" spans="1:13" x14ac:dyDescent="0.25">
      <c r="A67" s="2" t="s">
        <v>178</v>
      </c>
      <c r="B67" s="3" t="s">
        <v>179</v>
      </c>
      <c r="C67" s="3" t="s">
        <v>180</v>
      </c>
      <c r="D67" s="4" t="s">
        <v>7</v>
      </c>
      <c r="F67">
        <v>1617995032</v>
      </c>
      <c r="G67" s="1" t="s">
        <v>892</v>
      </c>
      <c r="H67" s="1" t="s">
        <v>1147</v>
      </c>
      <c r="I67" s="1" t="s">
        <v>1081</v>
      </c>
      <c r="J67">
        <v>2358</v>
      </c>
      <c r="K67" s="1" t="str">
        <f>VLOOKUP(uslugi41315[[#This Row],[ozn]],$A$2:$D$410,2,FALSE)</f>
        <v>turecki</v>
      </c>
      <c r="L67" s="1">
        <f>IF(uslugi41315[[#This Row],[powiat]]="Konin",1,0)</f>
        <v>0</v>
      </c>
      <c r="M67" s="1" t="str">
        <f>VLOOKUP(uslugi41315[[#This Row],[NIP]],nip_firm61416[],2,FALSE)</f>
        <v>RENOWATOR</v>
      </c>
    </row>
    <row r="68" spans="1:13" x14ac:dyDescent="0.25">
      <c r="A68" s="5" t="s">
        <v>181</v>
      </c>
      <c r="B68" s="6" t="s">
        <v>182</v>
      </c>
      <c r="C68" s="6" t="s">
        <v>183</v>
      </c>
      <c r="D68" s="7" t="s">
        <v>7</v>
      </c>
      <c r="F68">
        <v>4458233905</v>
      </c>
      <c r="G68" s="1" t="s">
        <v>1003</v>
      </c>
      <c r="H68" s="1" t="s">
        <v>1148</v>
      </c>
      <c r="I68" s="1" t="s">
        <v>1087</v>
      </c>
      <c r="J68">
        <v>2175</v>
      </c>
      <c r="K68" s="1" t="str">
        <f>VLOOKUP(uslugi41315[[#This Row],[ozn]],$A$2:$D$410,2,FALSE)</f>
        <v>Wroclaw</v>
      </c>
      <c r="L68" s="1">
        <f>IF(uslugi41315[[#This Row],[powiat]]="Konin",1,0)</f>
        <v>0</v>
      </c>
      <c r="M68" s="1" t="str">
        <f>VLOOKUP(uslugi41315[[#This Row],[NIP]],nip_firm61416[],2,FALSE)</f>
        <v>WROCBUD1</v>
      </c>
    </row>
    <row r="69" spans="1:13" x14ac:dyDescent="0.25">
      <c r="A69" s="2" t="s">
        <v>184</v>
      </c>
      <c r="B69" s="3" t="s">
        <v>185</v>
      </c>
      <c r="C69" s="3" t="s">
        <v>186</v>
      </c>
      <c r="D69" s="4" t="s">
        <v>7</v>
      </c>
      <c r="F69">
        <v>1361555378</v>
      </c>
      <c r="G69" s="1" t="s">
        <v>270</v>
      </c>
      <c r="H69" s="1" t="s">
        <v>1149</v>
      </c>
      <c r="I69" s="1" t="s">
        <v>1081</v>
      </c>
      <c r="J69">
        <v>2972</v>
      </c>
      <c r="K69" s="1" t="str">
        <f>VLOOKUP(uslugi41315[[#This Row],[ozn]],$A$2:$D$410,2,FALSE)</f>
        <v>Katowice</v>
      </c>
      <c r="L69" s="1">
        <f>IF(uslugi41315[[#This Row],[powiat]]="Konin",1,0)</f>
        <v>0</v>
      </c>
      <c r="M69" s="1" t="str">
        <f>VLOOKUP(uslugi41315[[#This Row],[NIP]],nip_firm61416[],2,FALSE)</f>
        <v>OSTOPOL</v>
      </c>
    </row>
    <row r="70" spans="1:13" x14ac:dyDescent="0.25">
      <c r="A70" s="5" t="s">
        <v>187</v>
      </c>
      <c r="B70" s="6" t="s">
        <v>188</v>
      </c>
      <c r="C70" s="6" t="s">
        <v>188</v>
      </c>
      <c r="D70" s="7" t="s">
        <v>22</v>
      </c>
      <c r="F70">
        <v>6758177505</v>
      </c>
      <c r="G70" s="1" t="s">
        <v>862</v>
      </c>
      <c r="H70" s="1" t="s">
        <v>1150</v>
      </c>
      <c r="I70" s="1" t="s">
        <v>1081</v>
      </c>
      <c r="J70">
        <v>1779</v>
      </c>
      <c r="K70" s="1" t="str">
        <f>VLOOKUP(uslugi41315[[#This Row],[ozn]],$A$2:$D$410,2,FALSE)</f>
        <v>tarnobrzeski</v>
      </c>
      <c r="L70" s="1">
        <f>IF(uslugi41315[[#This Row],[powiat]]="Konin",1,0)</f>
        <v>0</v>
      </c>
      <c r="M70" s="1" t="str">
        <f>VLOOKUP(uslugi41315[[#This Row],[NIP]],nip_firm61416[],2,FALSE)</f>
        <v>WERTIX</v>
      </c>
    </row>
    <row r="71" spans="1:13" x14ac:dyDescent="0.25">
      <c r="A71" s="2" t="s">
        <v>189</v>
      </c>
      <c r="B71" s="3" t="s">
        <v>190</v>
      </c>
      <c r="C71" s="3" t="s">
        <v>191</v>
      </c>
      <c r="D71" s="4" t="s">
        <v>7</v>
      </c>
      <c r="F71">
        <v>3318203338</v>
      </c>
      <c r="G71" s="1" t="s">
        <v>270</v>
      </c>
      <c r="H71" s="1" t="s">
        <v>1151</v>
      </c>
      <c r="I71" s="1" t="s">
        <v>1087</v>
      </c>
      <c r="J71">
        <v>2165</v>
      </c>
      <c r="K71" s="1" t="str">
        <f>VLOOKUP(uslugi41315[[#This Row],[ozn]],$A$2:$D$410,2,FALSE)</f>
        <v>Katowice</v>
      </c>
      <c r="L71" s="1">
        <f>IF(uslugi41315[[#This Row],[powiat]]="Konin",1,0)</f>
        <v>0</v>
      </c>
      <c r="M71" s="1" t="str">
        <f>VLOOKUP(uslugi41315[[#This Row],[NIP]],nip_firm61416[],2,FALSE)</f>
        <v>LUBLIN1</v>
      </c>
    </row>
    <row r="72" spans="1:13" x14ac:dyDescent="0.25">
      <c r="A72" s="5" t="s">
        <v>192</v>
      </c>
      <c r="B72" s="6" t="s">
        <v>193</v>
      </c>
      <c r="C72" s="6" t="s">
        <v>194</v>
      </c>
      <c r="D72" s="7" t="s">
        <v>7</v>
      </c>
      <c r="F72">
        <v>5459753232</v>
      </c>
      <c r="G72" s="1" t="s">
        <v>737</v>
      </c>
      <c r="H72" s="1" t="s">
        <v>1152</v>
      </c>
      <c r="I72" s="1" t="s">
        <v>1081</v>
      </c>
      <c r="J72">
        <v>2758</v>
      </c>
      <c r="K72" s="1" t="str">
        <f>VLOOKUP(uslugi41315[[#This Row],[ozn]],$A$2:$D$410,2,FALSE)</f>
        <v>siemiatycki</v>
      </c>
      <c r="L72" s="1">
        <f>IF(uslugi41315[[#This Row],[powiat]]="Konin",1,0)</f>
        <v>0</v>
      </c>
      <c r="M72" s="1" t="str">
        <f>VLOOKUP(uslugi41315[[#This Row],[NIP]],nip_firm61416[],2,FALSE)</f>
        <v>TARGOR</v>
      </c>
    </row>
    <row r="73" spans="1:13" x14ac:dyDescent="0.25">
      <c r="A73" s="2" t="s">
        <v>195</v>
      </c>
      <c r="B73" s="3" t="s">
        <v>196</v>
      </c>
      <c r="C73" s="3" t="s">
        <v>197</v>
      </c>
      <c r="D73" s="4" t="s">
        <v>7</v>
      </c>
      <c r="F73">
        <v>4326751508</v>
      </c>
      <c r="G73" s="1" t="s">
        <v>40</v>
      </c>
      <c r="H73" s="1" t="s">
        <v>1153</v>
      </c>
      <c r="I73" s="1" t="s">
        <v>1087</v>
      </c>
      <c r="J73">
        <v>2198</v>
      </c>
      <c r="K73" s="1" t="str">
        <f>VLOOKUP(uslugi41315[[#This Row],[ozn]],$A$2:$D$410,2,FALSE)</f>
        <v>Bielsko-Biala</v>
      </c>
      <c r="L73" s="1">
        <f>IF(uslugi41315[[#This Row],[powiat]]="Konin",1,0)</f>
        <v>0</v>
      </c>
      <c r="M73" s="1" t="str">
        <f>VLOOKUP(uslugi41315[[#This Row],[NIP]],nip_firm61416[],2,FALSE)</f>
        <v>WROCBUD2</v>
      </c>
    </row>
    <row r="74" spans="1:13" x14ac:dyDescent="0.25">
      <c r="A74" s="5" t="s">
        <v>198</v>
      </c>
      <c r="B74" s="6" t="s">
        <v>199</v>
      </c>
      <c r="C74" s="6" t="s">
        <v>200</v>
      </c>
      <c r="D74" s="7" t="s">
        <v>7</v>
      </c>
      <c r="F74">
        <v>4326751508</v>
      </c>
      <c r="G74" s="1" t="s">
        <v>40</v>
      </c>
      <c r="H74" s="1" t="s">
        <v>1154</v>
      </c>
      <c r="I74" s="1" t="s">
        <v>1087</v>
      </c>
      <c r="J74">
        <v>1902</v>
      </c>
      <c r="K74" s="1" t="str">
        <f>VLOOKUP(uslugi41315[[#This Row],[ozn]],$A$2:$D$410,2,FALSE)</f>
        <v>Bielsko-Biala</v>
      </c>
      <c r="L74" s="1">
        <f>IF(uslugi41315[[#This Row],[powiat]]="Konin",1,0)</f>
        <v>0</v>
      </c>
      <c r="M74" s="1" t="str">
        <f>VLOOKUP(uslugi41315[[#This Row],[NIP]],nip_firm61416[],2,FALSE)</f>
        <v>WROCBUD2</v>
      </c>
    </row>
    <row r="75" spans="1:13" x14ac:dyDescent="0.25">
      <c r="A75" s="2" t="s">
        <v>201</v>
      </c>
      <c r="B75" s="3" t="s">
        <v>202</v>
      </c>
      <c r="C75" s="3" t="s">
        <v>203</v>
      </c>
      <c r="D75" s="4" t="s">
        <v>7</v>
      </c>
      <c r="F75">
        <v>4458233905</v>
      </c>
      <c r="G75" s="1" t="s">
        <v>270</v>
      </c>
      <c r="H75" s="1" t="s">
        <v>1155</v>
      </c>
      <c r="I75" s="1" t="s">
        <v>1087</v>
      </c>
      <c r="J75">
        <v>2318</v>
      </c>
      <c r="K75" s="1" t="str">
        <f>VLOOKUP(uslugi41315[[#This Row],[ozn]],$A$2:$D$410,2,FALSE)</f>
        <v>Katowice</v>
      </c>
      <c r="L75" s="1">
        <f>IF(uslugi41315[[#This Row],[powiat]]="Konin",1,0)</f>
        <v>0</v>
      </c>
      <c r="M75" s="1" t="str">
        <f>VLOOKUP(uslugi41315[[#This Row],[NIP]],nip_firm61416[],2,FALSE)</f>
        <v>WROCBUD1</v>
      </c>
    </row>
    <row r="76" spans="1:13" x14ac:dyDescent="0.25">
      <c r="A76" s="5" t="s">
        <v>204</v>
      </c>
      <c r="B76" s="6" t="s">
        <v>202</v>
      </c>
      <c r="C76" s="6" t="s">
        <v>205</v>
      </c>
      <c r="D76" s="7" t="s">
        <v>7</v>
      </c>
      <c r="F76">
        <v>3470453173</v>
      </c>
      <c r="G76" s="1" t="s">
        <v>85</v>
      </c>
      <c r="H76" s="1" t="s">
        <v>1156</v>
      </c>
      <c r="I76" s="1" t="s">
        <v>1081</v>
      </c>
      <c r="J76">
        <v>2415</v>
      </c>
      <c r="K76" s="1" t="str">
        <f>VLOOKUP(uslugi41315[[#This Row],[ozn]],$A$2:$D$410,2,FALSE)</f>
        <v>Chelm</v>
      </c>
      <c r="L76" s="1">
        <f>IF(uslugi41315[[#This Row],[powiat]]="Konin",1,0)</f>
        <v>0</v>
      </c>
      <c r="M76" s="1" t="str">
        <f>VLOOKUP(uslugi41315[[#This Row],[NIP]],nip_firm61416[],2,FALSE)</f>
        <v>MASPOL</v>
      </c>
    </row>
    <row r="77" spans="1:13" x14ac:dyDescent="0.25">
      <c r="A77" s="2" t="s">
        <v>206</v>
      </c>
      <c r="B77" s="3" t="s">
        <v>207</v>
      </c>
      <c r="C77" s="3" t="s">
        <v>208</v>
      </c>
      <c r="D77" s="4" t="s">
        <v>7</v>
      </c>
      <c r="F77">
        <v>1524870307</v>
      </c>
      <c r="G77" s="1" t="s">
        <v>270</v>
      </c>
      <c r="H77" s="1" t="s">
        <v>1157</v>
      </c>
      <c r="I77" s="1" t="s">
        <v>1087</v>
      </c>
      <c r="J77">
        <v>1893</v>
      </c>
      <c r="K77" s="1" t="str">
        <f>VLOOKUP(uslugi41315[[#This Row],[ozn]],$A$2:$D$410,2,FALSE)</f>
        <v>Katowice</v>
      </c>
      <c r="L77" s="1">
        <f>IF(uslugi41315[[#This Row],[powiat]]="Konin",1,0)</f>
        <v>0</v>
      </c>
      <c r="M77" s="1" t="str">
        <f>VLOOKUP(uslugi41315[[#This Row],[NIP]],nip_firm61416[],2,FALSE)</f>
        <v>NOTOM</v>
      </c>
    </row>
    <row r="78" spans="1:13" x14ac:dyDescent="0.25">
      <c r="A78" s="5" t="s">
        <v>209</v>
      </c>
      <c r="B78" s="6" t="s">
        <v>210</v>
      </c>
      <c r="C78" s="6" t="s">
        <v>210</v>
      </c>
      <c r="D78" s="7" t="s">
        <v>22</v>
      </c>
      <c r="F78">
        <v>2245871126</v>
      </c>
      <c r="G78" s="1" t="s">
        <v>73</v>
      </c>
      <c r="H78" s="1" t="s">
        <v>1158</v>
      </c>
      <c r="I78" s="1" t="s">
        <v>1087</v>
      </c>
      <c r="J78">
        <v>1950</v>
      </c>
      <c r="K78" s="1" t="str">
        <f>VLOOKUP(uslugi41315[[#This Row],[ozn]],$A$2:$D$410,2,FALSE)</f>
        <v>buski</v>
      </c>
      <c r="L78" s="1">
        <f>IF(uslugi41315[[#This Row],[powiat]]="Konin",1,0)</f>
        <v>0</v>
      </c>
      <c r="M78" s="1" t="str">
        <f>VLOOKUP(uslugi41315[[#This Row],[NIP]],nip_firm61416[],2,FALSE)</f>
        <v>OLSZTYN</v>
      </c>
    </row>
    <row r="79" spans="1:13" x14ac:dyDescent="0.25">
      <c r="A79" s="2" t="s">
        <v>211</v>
      </c>
      <c r="B79" s="3" t="s">
        <v>212</v>
      </c>
      <c r="C79" s="3" t="s">
        <v>210</v>
      </c>
      <c r="D79" s="4" t="s">
        <v>7</v>
      </c>
      <c r="F79">
        <v>2281651150</v>
      </c>
      <c r="G79" s="1" t="s">
        <v>552</v>
      </c>
      <c r="H79" s="1" t="s">
        <v>1159</v>
      </c>
      <c r="I79" s="1" t="s">
        <v>1087</v>
      </c>
      <c r="J79">
        <v>2575</v>
      </c>
      <c r="K79" s="1" t="str">
        <f>VLOOKUP(uslugi41315[[#This Row],[ozn]],$A$2:$D$410,2,FALSE)</f>
        <v>olsztynski</v>
      </c>
      <c r="L79" s="1">
        <f>IF(uslugi41315[[#This Row],[powiat]]="Konin",1,0)</f>
        <v>0</v>
      </c>
      <c r="M79" s="1" t="str">
        <f>VLOOKUP(uslugi41315[[#This Row],[NIP]],nip_firm61416[],2,FALSE)</f>
        <v>MAZUTEX</v>
      </c>
    </row>
    <row r="80" spans="1:13" x14ac:dyDescent="0.25">
      <c r="A80" s="5" t="s">
        <v>213</v>
      </c>
      <c r="B80" s="6" t="s">
        <v>214</v>
      </c>
      <c r="C80" s="6" t="s">
        <v>215</v>
      </c>
      <c r="D80" s="7" t="s">
        <v>7</v>
      </c>
      <c r="F80">
        <v>5266741491</v>
      </c>
      <c r="G80" s="1" t="s">
        <v>636</v>
      </c>
      <c r="H80" s="1" t="s">
        <v>1160</v>
      </c>
      <c r="I80" s="1" t="s">
        <v>1081</v>
      </c>
      <c r="J80">
        <v>2565</v>
      </c>
      <c r="K80" s="1" t="str">
        <f>VLOOKUP(uslugi41315[[#This Row],[ozn]],$A$2:$D$410,2,FALSE)</f>
        <v>Poznan</v>
      </c>
      <c r="L80" s="1">
        <f>IF(uslugi41315[[#This Row],[powiat]]="Konin",1,0)</f>
        <v>0</v>
      </c>
      <c r="M80" s="1" t="str">
        <f>VLOOKUP(uslugi41315[[#This Row],[NIP]],nip_firm61416[],2,FALSE)</f>
        <v>PIEKAR</v>
      </c>
    </row>
    <row r="81" spans="1:13" x14ac:dyDescent="0.25">
      <c r="A81" s="2" t="s">
        <v>216</v>
      </c>
      <c r="B81" s="3" t="s">
        <v>217</v>
      </c>
      <c r="C81" s="3" t="s">
        <v>218</v>
      </c>
      <c r="D81" s="4" t="s">
        <v>7</v>
      </c>
      <c r="F81">
        <v>5341884086</v>
      </c>
      <c r="G81" s="1" t="s">
        <v>636</v>
      </c>
      <c r="H81" s="1" t="s">
        <v>1161</v>
      </c>
      <c r="I81" s="1" t="s">
        <v>1081</v>
      </c>
      <c r="J81">
        <v>1970</v>
      </c>
      <c r="K81" s="1" t="str">
        <f>VLOOKUP(uslugi41315[[#This Row],[ozn]],$A$2:$D$410,2,FALSE)</f>
        <v>Poznan</v>
      </c>
      <c r="L81" s="1">
        <f>IF(uslugi41315[[#This Row],[powiat]]="Konin",1,0)</f>
        <v>0</v>
      </c>
      <c r="M81" s="1" t="str">
        <f>VLOOKUP(uslugi41315[[#This Row],[NIP]],nip_firm61416[],2,FALSE)</f>
        <v>SENIN</v>
      </c>
    </row>
    <row r="82" spans="1:13" x14ac:dyDescent="0.25">
      <c r="A82" s="5" t="s">
        <v>219</v>
      </c>
      <c r="B82" s="6" t="s">
        <v>220</v>
      </c>
      <c r="C82" s="6" t="s">
        <v>221</v>
      </c>
      <c r="D82" s="7" t="s">
        <v>7</v>
      </c>
      <c r="F82">
        <v>5459753232</v>
      </c>
      <c r="G82" s="1" t="s">
        <v>737</v>
      </c>
      <c r="H82" s="1" t="s">
        <v>1162</v>
      </c>
      <c r="I82" s="1" t="s">
        <v>1087</v>
      </c>
      <c r="J82">
        <v>1950</v>
      </c>
      <c r="K82" s="1" t="str">
        <f>VLOOKUP(uslugi41315[[#This Row],[ozn]],$A$2:$D$410,2,FALSE)</f>
        <v>siemiatycki</v>
      </c>
      <c r="L82" s="1">
        <f>IF(uslugi41315[[#This Row],[powiat]]="Konin",1,0)</f>
        <v>0</v>
      </c>
      <c r="M82" s="1" t="str">
        <f>VLOOKUP(uslugi41315[[#This Row],[NIP]],nip_firm61416[],2,FALSE)</f>
        <v>TARGOR</v>
      </c>
    </row>
    <row r="83" spans="1:13" x14ac:dyDescent="0.25">
      <c r="A83" s="2" t="s">
        <v>222</v>
      </c>
      <c r="B83" s="3" t="s">
        <v>223</v>
      </c>
      <c r="C83" s="3" t="s">
        <v>224</v>
      </c>
      <c r="D83" s="4" t="s">
        <v>7</v>
      </c>
      <c r="F83">
        <v>1617995032</v>
      </c>
      <c r="G83" s="1" t="s">
        <v>892</v>
      </c>
      <c r="H83" s="1" t="s">
        <v>1163</v>
      </c>
      <c r="I83" s="1" t="s">
        <v>1081</v>
      </c>
      <c r="J83">
        <v>2448</v>
      </c>
      <c r="K83" s="1" t="str">
        <f>VLOOKUP(uslugi41315[[#This Row],[ozn]],$A$2:$D$410,2,FALSE)</f>
        <v>turecki</v>
      </c>
      <c r="L83" s="1">
        <f>IF(uslugi41315[[#This Row],[powiat]]="Konin",1,0)</f>
        <v>0</v>
      </c>
      <c r="M83" s="1" t="str">
        <f>VLOOKUP(uslugi41315[[#This Row],[NIP]],nip_firm61416[],2,FALSE)</f>
        <v>RENOWATOR</v>
      </c>
    </row>
    <row r="84" spans="1:13" x14ac:dyDescent="0.25">
      <c r="A84" s="5" t="s">
        <v>225</v>
      </c>
      <c r="B84" s="6" t="s">
        <v>226</v>
      </c>
      <c r="C84" s="6" t="s">
        <v>227</v>
      </c>
      <c r="D84" s="7" t="s">
        <v>7</v>
      </c>
      <c r="F84">
        <v>5185759244</v>
      </c>
      <c r="G84" s="1" t="s">
        <v>636</v>
      </c>
      <c r="H84" s="1" t="s">
        <v>1164</v>
      </c>
      <c r="I84" s="1" t="s">
        <v>1087</v>
      </c>
      <c r="J84">
        <v>2688</v>
      </c>
      <c r="K84" s="1" t="str">
        <f>VLOOKUP(uslugi41315[[#This Row],[ozn]],$A$2:$D$410,2,FALSE)</f>
        <v>Poznan</v>
      </c>
      <c r="L84" s="1">
        <f>IF(uslugi41315[[#This Row],[powiat]]="Konin",1,0)</f>
        <v>0</v>
      </c>
      <c r="M84" s="1" t="str">
        <f>VLOOKUP(uslugi41315[[#This Row],[NIP]],nip_firm61416[],2,FALSE)</f>
        <v>BYTOM1</v>
      </c>
    </row>
    <row r="85" spans="1:13" x14ac:dyDescent="0.25">
      <c r="A85" s="2" t="s">
        <v>228</v>
      </c>
      <c r="B85" s="3" t="s">
        <v>229</v>
      </c>
      <c r="C85" s="3" t="s">
        <v>230</v>
      </c>
      <c r="D85" s="4" t="s">
        <v>7</v>
      </c>
      <c r="F85">
        <v>3568004264</v>
      </c>
      <c r="G85" s="1" t="s">
        <v>428</v>
      </c>
      <c r="H85" s="1" t="s">
        <v>1165</v>
      </c>
      <c r="I85" s="1" t="s">
        <v>1081</v>
      </c>
      <c r="J85">
        <v>2185</v>
      </c>
      <c r="K85" s="1" t="str">
        <f>VLOOKUP(uslugi41315[[#This Row],[ozn]],$A$2:$D$410,2,FALSE)</f>
        <v>lubelski</v>
      </c>
      <c r="L85" s="1">
        <f>IF(uslugi41315[[#This Row],[powiat]]="Konin",1,0)</f>
        <v>0</v>
      </c>
      <c r="M85" s="1" t="str">
        <f>VLOOKUP(uslugi41315[[#This Row],[NIP]],nip_firm61416[],2,FALSE)</f>
        <v>MURATOR</v>
      </c>
    </row>
    <row r="86" spans="1:13" x14ac:dyDescent="0.25">
      <c r="A86" s="5" t="s">
        <v>231</v>
      </c>
      <c r="B86" s="6" t="s">
        <v>232</v>
      </c>
      <c r="C86" s="6" t="s">
        <v>233</v>
      </c>
      <c r="D86" s="7" t="s">
        <v>7</v>
      </c>
      <c r="F86">
        <v>1620242236</v>
      </c>
      <c r="G86" s="1" t="s">
        <v>314</v>
      </c>
      <c r="H86" s="1" t="s">
        <v>1166</v>
      </c>
      <c r="I86" s="1" t="s">
        <v>1087</v>
      </c>
      <c r="J86">
        <v>3192</v>
      </c>
      <c r="K86" s="1" t="str">
        <f>VLOOKUP(uslugi41315[[#This Row],[ozn]],$A$2:$D$410,2,FALSE)</f>
        <v>Konin</v>
      </c>
      <c r="L86" s="1">
        <f>IF(uslugi41315[[#This Row],[powiat]]="Konin",1,0)</f>
        <v>1</v>
      </c>
      <c r="M86" s="1" t="str">
        <f>VLOOKUP(uslugi41315[[#This Row],[NIP]],nip_firm61416[],2,FALSE)</f>
        <v>WIET-IND</v>
      </c>
    </row>
    <row r="87" spans="1:13" x14ac:dyDescent="0.25">
      <c r="A87" s="2" t="s">
        <v>234</v>
      </c>
      <c r="B87" s="3" t="s">
        <v>235</v>
      </c>
      <c r="C87" s="3" t="s">
        <v>236</v>
      </c>
      <c r="D87" s="4" t="s">
        <v>7</v>
      </c>
      <c r="F87">
        <v>3470453173</v>
      </c>
      <c r="G87" s="1" t="s">
        <v>85</v>
      </c>
      <c r="H87" s="1" t="s">
        <v>1167</v>
      </c>
      <c r="I87" s="1" t="s">
        <v>1087</v>
      </c>
      <c r="J87">
        <v>2464</v>
      </c>
      <c r="K87" s="1" t="str">
        <f>VLOOKUP(uslugi41315[[#This Row],[ozn]],$A$2:$D$410,2,FALSE)</f>
        <v>Chelm</v>
      </c>
      <c r="L87" s="1">
        <f>IF(uslugi41315[[#This Row],[powiat]]="Konin",1,0)</f>
        <v>0</v>
      </c>
      <c r="M87" s="1" t="str">
        <f>VLOOKUP(uslugi41315[[#This Row],[NIP]],nip_firm61416[],2,FALSE)</f>
        <v>MASPOL</v>
      </c>
    </row>
    <row r="88" spans="1:13" x14ac:dyDescent="0.25">
      <c r="A88" s="5" t="s">
        <v>237</v>
      </c>
      <c r="B88" s="6" t="s">
        <v>238</v>
      </c>
      <c r="C88" s="6" t="s">
        <v>239</v>
      </c>
      <c r="D88" s="7" t="s">
        <v>7</v>
      </c>
      <c r="F88">
        <v>6727559092</v>
      </c>
      <c r="G88" s="1" t="s">
        <v>862</v>
      </c>
      <c r="H88" s="1" t="s">
        <v>1168</v>
      </c>
      <c r="I88" s="1" t="s">
        <v>1087</v>
      </c>
      <c r="J88">
        <v>2034</v>
      </c>
      <c r="K88" s="1" t="str">
        <f>VLOOKUP(uslugi41315[[#This Row],[ozn]],$A$2:$D$410,2,FALSE)</f>
        <v>tarnobrzeski</v>
      </c>
      <c r="L88" s="1">
        <f>IF(uslugi41315[[#This Row],[powiat]]="Konin",1,0)</f>
        <v>0</v>
      </c>
      <c r="M88" s="1" t="str">
        <f>VLOOKUP(uslugi41315[[#This Row],[NIP]],nip_firm61416[],2,FALSE)</f>
        <v>ANDROPOL SP. Z. O. O.</v>
      </c>
    </row>
    <row r="89" spans="1:13" x14ac:dyDescent="0.25">
      <c r="A89" s="2" t="s">
        <v>240</v>
      </c>
      <c r="B89" s="3" t="s">
        <v>241</v>
      </c>
      <c r="C89" s="3" t="s">
        <v>242</v>
      </c>
      <c r="D89" s="4" t="s">
        <v>7</v>
      </c>
      <c r="F89">
        <v>1127056356</v>
      </c>
      <c r="G89" s="1" t="s">
        <v>317</v>
      </c>
      <c r="H89" s="1" t="s">
        <v>1169</v>
      </c>
      <c r="I89" s="1" t="s">
        <v>1081</v>
      </c>
      <c r="J89">
        <v>2436</v>
      </c>
      <c r="K89" s="1" t="str">
        <f>VLOOKUP(uslugi41315[[#This Row],[ozn]],$A$2:$D$410,2,FALSE)</f>
        <v>koscianski</v>
      </c>
      <c r="L89" s="1">
        <f>IF(uslugi41315[[#This Row],[powiat]]="Konin",1,0)</f>
        <v>0</v>
      </c>
      <c r="M89" s="1" t="str">
        <f>VLOOKUP(uslugi41315[[#This Row],[NIP]],nip_firm61416[],2,FALSE)</f>
        <v>KONSBET</v>
      </c>
    </row>
    <row r="90" spans="1:13" x14ac:dyDescent="0.25">
      <c r="A90" s="5" t="s">
        <v>243</v>
      </c>
      <c r="B90" s="6" t="s">
        <v>244</v>
      </c>
      <c r="C90" s="6" t="s">
        <v>244</v>
      </c>
      <c r="D90" s="7" t="s">
        <v>22</v>
      </c>
      <c r="F90">
        <v>6727559092</v>
      </c>
      <c r="G90" s="1" t="s">
        <v>862</v>
      </c>
      <c r="H90" s="1" t="s">
        <v>1170</v>
      </c>
      <c r="I90" s="1" t="s">
        <v>1087</v>
      </c>
      <c r="J90">
        <v>2114</v>
      </c>
      <c r="K90" s="1" t="str">
        <f>VLOOKUP(uslugi41315[[#This Row],[ozn]],$A$2:$D$410,2,FALSE)</f>
        <v>tarnobrzeski</v>
      </c>
      <c r="L90" s="1">
        <f>IF(uslugi41315[[#This Row],[powiat]]="Konin",1,0)</f>
        <v>0</v>
      </c>
      <c r="M90" s="1" t="str">
        <f>VLOOKUP(uslugi41315[[#This Row],[NIP]],nip_firm61416[],2,FALSE)</f>
        <v>ANDROPOL SP. Z. O. O.</v>
      </c>
    </row>
    <row r="91" spans="1:13" x14ac:dyDescent="0.25">
      <c r="A91" s="2" t="s">
        <v>245</v>
      </c>
      <c r="B91" s="3" t="s">
        <v>246</v>
      </c>
      <c r="C91" s="3" t="s">
        <v>247</v>
      </c>
      <c r="D91" s="4" t="s">
        <v>7</v>
      </c>
      <c r="F91">
        <v>1939065269</v>
      </c>
      <c r="G91" s="1" t="s">
        <v>636</v>
      </c>
      <c r="H91" s="1" t="s">
        <v>1171</v>
      </c>
      <c r="I91" s="1" t="s">
        <v>1081</v>
      </c>
      <c r="J91">
        <v>2390</v>
      </c>
      <c r="K91" s="1" t="str">
        <f>VLOOKUP(uslugi41315[[#This Row],[ozn]],$A$2:$D$410,2,FALSE)</f>
        <v>Poznan</v>
      </c>
      <c r="L91" s="1">
        <f>IF(uslugi41315[[#This Row],[powiat]]="Konin",1,0)</f>
        <v>0</v>
      </c>
      <c r="M91" s="1" t="str">
        <f>VLOOKUP(uslugi41315[[#This Row],[NIP]],nip_firm61416[],2,FALSE)</f>
        <v>KUSTMASZ</v>
      </c>
    </row>
    <row r="92" spans="1:13" x14ac:dyDescent="0.25">
      <c r="A92" s="5" t="s">
        <v>248</v>
      </c>
      <c r="B92" s="6" t="s">
        <v>249</v>
      </c>
      <c r="C92" s="6" t="s">
        <v>249</v>
      </c>
      <c r="D92" s="7" t="s">
        <v>22</v>
      </c>
      <c r="F92">
        <v>1820566794</v>
      </c>
      <c r="G92" s="1" t="s">
        <v>604</v>
      </c>
      <c r="H92" s="1" t="s">
        <v>1172</v>
      </c>
      <c r="I92" s="1" t="s">
        <v>1081</v>
      </c>
      <c r="J92">
        <v>1932</v>
      </c>
      <c r="K92" s="1" t="str">
        <f>VLOOKUP(uslugi41315[[#This Row],[ozn]],$A$2:$D$410,2,FALSE)</f>
        <v>pilski</v>
      </c>
      <c r="L92" s="1">
        <f>IF(uslugi41315[[#This Row],[powiat]]="Konin",1,0)</f>
        <v>0</v>
      </c>
      <c r="M92" s="1" t="str">
        <f>VLOOKUP(uslugi41315[[#This Row],[NIP]],nip_firm61416[],2,FALSE)</f>
        <v>WRZESNIA2</v>
      </c>
    </row>
    <row r="93" spans="1:13" x14ac:dyDescent="0.25">
      <c r="A93" s="2" t="s">
        <v>250</v>
      </c>
      <c r="B93" s="3" t="s">
        <v>251</v>
      </c>
      <c r="C93" s="3" t="s">
        <v>252</v>
      </c>
      <c r="D93" s="4" t="s">
        <v>7</v>
      </c>
      <c r="F93">
        <v>4241680809</v>
      </c>
      <c r="G93" s="1" t="s">
        <v>636</v>
      </c>
      <c r="H93" s="1" t="s">
        <v>1173</v>
      </c>
      <c r="I93" s="1" t="s">
        <v>1081</v>
      </c>
      <c r="J93">
        <v>2720</v>
      </c>
      <c r="K93" s="1" t="str">
        <f>VLOOKUP(uslugi41315[[#This Row],[ozn]],$A$2:$D$410,2,FALSE)</f>
        <v>Poznan</v>
      </c>
      <c r="L93" s="1">
        <f>IF(uslugi41315[[#This Row],[powiat]]="Konin",1,0)</f>
        <v>0</v>
      </c>
      <c r="M93" s="1" t="str">
        <f>VLOOKUP(uslugi41315[[#This Row],[NIP]],nip_firm61416[],2,FALSE)</f>
        <v>WROCBUD4</v>
      </c>
    </row>
    <row r="94" spans="1:13" x14ac:dyDescent="0.25">
      <c r="A94" s="5" t="s">
        <v>253</v>
      </c>
      <c r="B94" s="6" t="s">
        <v>254</v>
      </c>
      <c r="C94" s="6" t="s">
        <v>254</v>
      </c>
      <c r="D94" s="7" t="s">
        <v>22</v>
      </c>
      <c r="F94">
        <v>4458233905</v>
      </c>
      <c r="G94" s="1" t="s">
        <v>1003</v>
      </c>
      <c r="H94" s="1" t="s">
        <v>1174</v>
      </c>
      <c r="I94" s="1" t="s">
        <v>1081</v>
      </c>
      <c r="J94">
        <v>2478</v>
      </c>
      <c r="K94" s="1" t="str">
        <f>VLOOKUP(uslugi41315[[#This Row],[ozn]],$A$2:$D$410,2,FALSE)</f>
        <v>Wroclaw</v>
      </c>
      <c r="L94" s="1">
        <f>IF(uslugi41315[[#This Row],[powiat]]="Konin",1,0)</f>
        <v>0</v>
      </c>
      <c r="M94" s="1" t="str">
        <f>VLOOKUP(uslugi41315[[#This Row],[NIP]],nip_firm61416[],2,FALSE)</f>
        <v>WROCBUD1</v>
      </c>
    </row>
    <row r="95" spans="1:13" x14ac:dyDescent="0.25">
      <c r="A95" s="2" t="s">
        <v>255</v>
      </c>
      <c r="B95" s="3" t="s">
        <v>256</v>
      </c>
      <c r="C95" s="3" t="s">
        <v>254</v>
      </c>
      <c r="D95" s="4" t="s">
        <v>7</v>
      </c>
      <c r="F95">
        <v>1433397952</v>
      </c>
      <c r="G95" s="1" t="s">
        <v>314</v>
      </c>
      <c r="H95" s="1" t="s">
        <v>1175</v>
      </c>
      <c r="I95" s="1" t="s">
        <v>1087</v>
      </c>
      <c r="J95">
        <v>2434</v>
      </c>
      <c r="K95" s="1" t="str">
        <f>VLOOKUP(uslugi41315[[#This Row],[ozn]],$A$2:$D$410,2,FALSE)</f>
        <v>Konin</v>
      </c>
      <c r="L95" s="1">
        <f>IF(uslugi41315[[#This Row],[powiat]]="Konin",1,0)</f>
        <v>1</v>
      </c>
      <c r="M95" s="1" t="str">
        <f>VLOOKUP(uslugi41315[[#This Row],[NIP]],nip_firm61416[],2,FALSE)</f>
        <v>BARTEX</v>
      </c>
    </row>
    <row r="96" spans="1:13" x14ac:dyDescent="0.25">
      <c r="A96" s="5" t="s">
        <v>257</v>
      </c>
      <c r="B96" s="6" t="s">
        <v>258</v>
      </c>
      <c r="C96" s="6" t="s">
        <v>259</v>
      </c>
      <c r="D96" s="7" t="s">
        <v>7</v>
      </c>
      <c r="F96">
        <v>4779174699</v>
      </c>
      <c r="G96" s="1" t="s">
        <v>1003</v>
      </c>
      <c r="H96" s="1" t="s">
        <v>1176</v>
      </c>
      <c r="I96" s="1" t="s">
        <v>1081</v>
      </c>
      <c r="J96">
        <v>2992</v>
      </c>
      <c r="K96" s="1" t="str">
        <f>VLOOKUP(uslugi41315[[#This Row],[ozn]],$A$2:$D$410,2,FALSE)</f>
        <v>Wroclaw</v>
      </c>
      <c r="L96" s="1">
        <f>IF(uslugi41315[[#This Row],[powiat]]="Konin",1,0)</f>
        <v>0</v>
      </c>
      <c r="M96" s="1" t="str">
        <f>VLOOKUP(uslugi41315[[#This Row],[NIP]],nip_firm61416[],2,FALSE)</f>
        <v>FASO</v>
      </c>
    </row>
    <row r="97" spans="1:13" x14ac:dyDescent="0.25">
      <c r="A97" s="2" t="s">
        <v>260</v>
      </c>
      <c r="B97" s="3" t="s">
        <v>259</v>
      </c>
      <c r="C97" s="3" t="s">
        <v>259</v>
      </c>
      <c r="D97" s="4" t="s">
        <v>22</v>
      </c>
      <c r="F97">
        <v>5459753232</v>
      </c>
      <c r="G97" s="1" t="s">
        <v>737</v>
      </c>
      <c r="H97" s="1" t="s">
        <v>1177</v>
      </c>
      <c r="I97" s="1" t="s">
        <v>1087</v>
      </c>
      <c r="J97">
        <v>1860</v>
      </c>
      <c r="K97" s="1" t="str">
        <f>VLOOKUP(uslugi41315[[#This Row],[ozn]],$A$2:$D$410,2,FALSE)</f>
        <v>siemiatycki</v>
      </c>
      <c r="L97" s="1">
        <f>IF(uslugi41315[[#This Row],[powiat]]="Konin",1,0)</f>
        <v>0</v>
      </c>
      <c r="M97" s="1" t="str">
        <f>VLOOKUP(uslugi41315[[#This Row],[NIP]],nip_firm61416[],2,FALSE)</f>
        <v>TARGOR</v>
      </c>
    </row>
    <row r="98" spans="1:13" x14ac:dyDescent="0.25">
      <c r="A98" s="5" t="s">
        <v>261</v>
      </c>
      <c r="B98" s="6" t="s">
        <v>262</v>
      </c>
      <c r="C98" s="6" t="s">
        <v>263</v>
      </c>
      <c r="D98" s="7" t="s">
        <v>7</v>
      </c>
      <c r="F98">
        <v>3318203338</v>
      </c>
      <c r="G98" s="1" t="s">
        <v>636</v>
      </c>
      <c r="H98" s="1" t="s">
        <v>1178</v>
      </c>
      <c r="I98" s="1" t="s">
        <v>1081</v>
      </c>
      <c r="J98">
        <v>2427</v>
      </c>
      <c r="K98" s="1" t="str">
        <f>VLOOKUP(uslugi41315[[#This Row],[ozn]],$A$2:$D$410,2,FALSE)</f>
        <v>Poznan</v>
      </c>
      <c r="L98" s="1">
        <f>IF(uslugi41315[[#This Row],[powiat]]="Konin",1,0)</f>
        <v>0</v>
      </c>
      <c r="M98" s="1" t="str">
        <f>VLOOKUP(uslugi41315[[#This Row],[NIP]],nip_firm61416[],2,FALSE)</f>
        <v>LUBLIN1</v>
      </c>
    </row>
    <row r="99" spans="1:13" x14ac:dyDescent="0.25">
      <c r="A99" s="2" t="s">
        <v>264</v>
      </c>
      <c r="B99" s="3" t="s">
        <v>265</v>
      </c>
      <c r="C99" s="3" t="s">
        <v>266</v>
      </c>
      <c r="D99" s="4" t="s">
        <v>7</v>
      </c>
      <c r="F99">
        <v>5514533376</v>
      </c>
      <c r="G99" s="1" t="s">
        <v>40</v>
      </c>
      <c r="H99" s="1" t="s">
        <v>1179</v>
      </c>
      <c r="I99" s="1" t="s">
        <v>1087</v>
      </c>
      <c r="J99">
        <v>2926</v>
      </c>
      <c r="K99" s="1" t="str">
        <f>VLOOKUP(uslugi41315[[#This Row],[ozn]],$A$2:$D$410,2,FALSE)</f>
        <v>Bielsko-Biala</v>
      </c>
      <c r="L99" s="1">
        <f>IF(uslugi41315[[#This Row],[powiat]]="Konin",1,0)</f>
        <v>0</v>
      </c>
      <c r="M99" s="1" t="str">
        <f>VLOOKUP(uslugi41315[[#This Row],[NIP]],nip_firm61416[],2,FALSE)</f>
        <v>BYTOM2</v>
      </c>
    </row>
    <row r="100" spans="1:13" x14ac:dyDescent="0.25">
      <c r="A100" s="5" t="s">
        <v>267</v>
      </c>
      <c r="B100" s="6" t="s">
        <v>268</v>
      </c>
      <c r="C100" s="6" t="s">
        <v>269</v>
      </c>
      <c r="D100" s="7" t="s">
        <v>7</v>
      </c>
      <c r="F100">
        <v>5418968184</v>
      </c>
      <c r="G100" s="1" t="s">
        <v>636</v>
      </c>
      <c r="H100" s="1" t="s">
        <v>1180</v>
      </c>
      <c r="I100" s="1" t="s">
        <v>1087</v>
      </c>
      <c r="J100">
        <v>1902</v>
      </c>
      <c r="K100" s="1" t="str">
        <f>VLOOKUP(uslugi41315[[#This Row],[ozn]],$A$2:$D$410,2,FALSE)</f>
        <v>Poznan</v>
      </c>
      <c r="L100" s="1">
        <f>IF(uslugi41315[[#This Row],[powiat]]="Konin",1,0)</f>
        <v>0</v>
      </c>
      <c r="M100" s="1" t="str">
        <f>VLOOKUP(uslugi41315[[#This Row],[NIP]],nip_firm61416[],2,FALSE)</f>
        <v>SOSNEC</v>
      </c>
    </row>
    <row r="101" spans="1:13" x14ac:dyDescent="0.25">
      <c r="A101" s="2" t="s">
        <v>270</v>
      </c>
      <c r="B101" s="3" t="s">
        <v>271</v>
      </c>
      <c r="C101" s="3" t="s">
        <v>271</v>
      </c>
      <c r="D101" s="4" t="s">
        <v>22</v>
      </c>
      <c r="F101">
        <v>4956781088</v>
      </c>
      <c r="G101" s="1" t="s">
        <v>184</v>
      </c>
      <c r="H101" s="1" t="s">
        <v>1181</v>
      </c>
      <c r="I101" s="1" t="s">
        <v>1081</v>
      </c>
      <c r="J101">
        <v>1929</v>
      </c>
      <c r="K101" s="1" t="str">
        <f>VLOOKUP(uslugi41315[[#This Row],[ozn]],$A$2:$D$410,2,FALSE)</f>
        <v>gorowski</v>
      </c>
      <c r="L101" s="1">
        <f>IF(uslugi41315[[#This Row],[powiat]]="Konin",1,0)</f>
        <v>0</v>
      </c>
      <c r="M101" s="1" t="str">
        <f>VLOOKUP(uslugi41315[[#This Row],[NIP]],nip_firm61416[],2,FALSE)</f>
        <v>FERMILAB</v>
      </c>
    </row>
    <row r="102" spans="1:13" x14ac:dyDescent="0.25">
      <c r="A102" s="5" t="s">
        <v>272</v>
      </c>
      <c r="B102" s="6" t="s">
        <v>273</v>
      </c>
      <c r="C102" s="6" t="s">
        <v>274</v>
      </c>
      <c r="D102" s="7" t="s">
        <v>7</v>
      </c>
      <c r="F102">
        <v>4241680809</v>
      </c>
      <c r="G102" s="1" t="s">
        <v>636</v>
      </c>
      <c r="H102" s="1" t="s">
        <v>1182</v>
      </c>
      <c r="I102" s="1" t="s">
        <v>1081</v>
      </c>
      <c r="J102">
        <v>3056</v>
      </c>
      <c r="K102" s="1" t="str">
        <f>VLOOKUP(uslugi41315[[#This Row],[ozn]],$A$2:$D$410,2,FALSE)</f>
        <v>Poznan</v>
      </c>
      <c r="L102" s="1">
        <f>IF(uslugi41315[[#This Row],[powiat]]="Konin",1,0)</f>
        <v>0</v>
      </c>
      <c r="M102" s="1" t="str">
        <f>VLOOKUP(uslugi41315[[#This Row],[NIP]],nip_firm61416[],2,FALSE)</f>
        <v>WROCBUD4</v>
      </c>
    </row>
    <row r="103" spans="1:13" x14ac:dyDescent="0.25">
      <c r="A103" s="2" t="s">
        <v>275</v>
      </c>
      <c r="B103" s="3" t="s">
        <v>276</v>
      </c>
      <c r="C103" s="3" t="s">
        <v>277</v>
      </c>
      <c r="D103" s="4" t="s">
        <v>7</v>
      </c>
      <c r="F103">
        <v>2599394621</v>
      </c>
      <c r="G103" s="1" t="s">
        <v>636</v>
      </c>
      <c r="H103" s="1" t="s">
        <v>1183</v>
      </c>
      <c r="I103" s="1" t="s">
        <v>1087</v>
      </c>
      <c r="J103">
        <v>2818</v>
      </c>
      <c r="K103" s="1" t="str">
        <f>VLOOKUP(uslugi41315[[#This Row],[ozn]],$A$2:$D$410,2,FALSE)</f>
        <v>Poznan</v>
      </c>
      <c r="L103" s="1">
        <f>IF(uslugi41315[[#This Row],[powiat]]="Konin",1,0)</f>
        <v>0</v>
      </c>
      <c r="M103" s="1" t="str">
        <f>VLOOKUP(uslugi41315[[#This Row],[NIP]],nip_firm61416[],2,FALSE)</f>
        <v>OLECKO</v>
      </c>
    </row>
    <row r="104" spans="1:13" x14ac:dyDescent="0.25">
      <c r="A104" s="5" t="s">
        <v>278</v>
      </c>
      <c r="B104" s="6" t="s">
        <v>279</v>
      </c>
      <c r="C104" s="6" t="s">
        <v>280</v>
      </c>
      <c r="D104" s="7" t="s">
        <v>7</v>
      </c>
      <c r="F104">
        <v>5115061689</v>
      </c>
      <c r="G104" s="1" t="s">
        <v>702</v>
      </c>
      <c r="H104" s="1" t="s">
        <v>1184</v>
      </c>
      <c r="I104" s="1" t="s">
        <v>1081</v>
      </c>
      <c r="J104">
        <v>3144</v>
      </c>
      <c r="K104" s="1" t="str">
        <f>VLOOKUP(uslugi41315[[#This Row],[ozn]],$A$2:$D$410,2,FALSE)</f>
        <v>Ruda Slaska</v>
      </c>
      <c r="L104" s="1">
        <f>IF(uslugi41315[[#This Row],[powiat]]="Konin",1,0)</f>
        <v>0</v>
      </c>
      <c r="M104" s="1" t="str">
        <f>VLOOKUP(uslugi41315[[#This Row],[NIP]],nip_firm61416[],2,FALSE)</f>
        <v>BETON-STAL</v>
      </c>
    </row>
    <row r="105" spans="1:13" x14ac:dyDescent="0.25">
      <c r="A105" s="2" t="s">
        <v>281</v>
      </c>
      <c r="B105" s="3" t="s">
        <v>282</v>
      </c>
      <c r="C105" s="3" t="s">
        <v>283</v>
      </c>
      <c r="D105" s="4" t="s">
        <v>7</v>
      </c>
      <c r="F105">
        <v>3568004264</v>
      </c>
      <c r="G105" s="1" t="s">
        <v>428</v>
      </c>
      <c r="H105" s="1" t="s">
        <v>1185</v>
      </c>
      <c r="I105" s="1" t="s">
        <v>1087</v>
      </c>
      <c r="J105">
        <v>3060</v>
      </c>
      <c r="K105" s="1" t="str">
        <f>VLOOKUP(uslugi41315[[#This Row],[ozn]],$A$2:$D$410,2,FALSE)</f>
        <v>lubelski</v>
      </c>
      <c r="L105" s="1">
        <f>IF(uslugi41315[[#This Row],[powiat]]="Konin",1,0)</f>
        <v>0</v>
      </c>
      <c r="M105" s="1" t="str">
        <f>VLOOKUP(uslugi41315[[#This Row],[NIP]],nip_firm61416[],2,FALSE)</f>
        <v>MURATOR</v>
      </c>
    </row>
    <row r="106" spans="1:13" x14ac:dyDescent="0.25">
      <c r="A106" s="5" t="s">
        <v>284</v>
      </c>
      <c r="B106" s="6" t="s">
        <v>285</v>
      </c>
      <c r="C106" s="6" t="s">
        <v>285</v>
      </c>
      <c r="D106" s="7" t="s">
        <v>22</v>
      </c>
      <c r="F106">
        <v>3470453173</v>
      </c>
      <c r="G106" s="1" t="s">
        <v>85</v>
      </c>
      <c r="H106" s="1" t="s">
        <v>1186</v>
      </c>
      <c r="I106" s="1" t="s">
        <v>1081</v>
      </c>
      <c r="J106">
        <v>1866</v>
      </c>
      <c r="K106" s="1" t="str">
        <f>VLOOKUP(uslugi41315[[#This Row],[ozn]],$A$2:$D$410,2,FALSE)</f>
        <v>Chelm</v>
      </c>
      <c r="L106" s="1">
        <f>IF(uslugi41315[[#This Row],[powiat]]="Konin",1,0)</f>
        <v>0</v>
      </c>
      <c r="M106" s="1" t="str">
        <f>VLOOKUP(uslugi41315[[#This Row],[NIP]],nip_firm61416[],2,FALSE)</f>
        <v>MASPOL</v>
      </c>
    </row>
    <row r="107" spans="1:13" x14ac:dyDescent="0.25">
      <c r="A107" s="2" t="s">
        <v>286</v>
      </c>
      <c r="B107" s="3" t="s">
        <v>287</v>
      </c>
      <c r="C107" s="3" t="s">
        <v>285</v>
      </c>
      <c r="D107" s="4" t="s">
        <v>7</v>
      </c>
      <c r="F107">
        <v>2119268767</v>
      </c>
      <c r="G107" s="1" t="s">
        <v>141</v>
      </c>
      <c r="H107" s="1" t="s">
        <v>1187</v>
      </c>
      <c r="I107" s="1" t="s">
        <v>1087</v>
      </c>
      <c r="J107">
        <v>2928</v>
      </c>
      <c r="K107" s="1" t="str">
        <f>VLOOKUP(uslugi41315[[#This Row],[ozn]],$A$2:$D$410,2,FALSE)</f>
        <v>elblaski</v>
      </c>
      <c r="L107" s="1">
        <f>IF(uslugi41315[[#This Row],[powiat]]="Konin",1,0)</f>
        <v>0</v>
      </c>
      <c r="M107" s="1" t="str">
        <f>VLOOKUP(uslugi41315[[#This Row],[NIP]],nip_firm61416[],2,FALSE)</f>
        <v>PETROLEUM</v>
      </c>
    </row>
    <row r="108" spans="1:13" x14ac:dyDescent="0.25">
      <c r="A108" s="5" t="s">
        <v>288</v>
      </c>
      <c r="B108" s="6" t="s">
        <v>289</v>
      </c>
      <c r="C108" s="6" t="s">
        <v>290</v>
      </c>
      <c r="D108" s="7" t="s">
        <v>7</v>
      </c>
      <c r="F108">
        <v>1246489959</v>
      </c>
      <c r="G108" s="1" t="s">
        <v>636</v>
      </c>
      <c r="H108" s="1" t="s">
        <v>1188</v>
      </c>
      <c r="I108" s="1" t="s">
        <v>1087</v>
      </c>
      <c r="J108">
        <v>2590</v>
      </c>
      <c r="K108" s="1" t="str">
        <f>VLOOKUP(uslugi41315[[#This Row],[ozn]],$A$2:$D$410,2,FALSE)</f>
        <v>Poznan</v>
      </c>
      <c r="L108" s="1">
        <f>IF(uslugi41315[[#This Row],[powiat]]="Konin",1,0)</f>
        <v>0</v>
      </c>
      <c r="M108" s="1" t="str">
        <f>VLOOKUP(uslugi41315[[#This Row],[NIP]],nip_firm61416[],2,FALSE)</f>
        <v>MIEDZYRZECZ</v>
      </c>
    </row>
    <row r="109" spans="1:13" x14ac:dyDescent="0.25">
      <c r="A109" s="2" t="s">
        <v>291</v>
      </c>
      <c r="B109" s="3" t="s">
        <v>292</v>
      </c>
      <c r="C109" s="3" t="s">
        <v>293</v>
      </c>
      <c r="D109" s="4" t="s">
        <v>7</v>
      </c>
      <c r="F109">
        <v>4779174699</v>
      </c>
      <c r="G109" s="1" t="s">
        <v>1003</v>
      </c>
      <c r="H109" s="1" t="s">
        <v>1189</v>
      </c>
      <c r="I109" s="1" t="s">
        <v>1081</v>
      </c>
      <c r="J109">
        <v>2445</v>
      </c>
      <c r="K109" s="1" t="str">
        <f>VLOOKUP(uslugi41315[[#This Row],[ozn]],$A$2:$D$410,2,FALSE)</f>
        <v>Wroclaw</v>
      </c>
      <c r="L109" s="1">
        <f>IF(uslugi41315[[#This Row],[powiat]]="Konin",1,0)</f>
        <v>0</v>
      </c>
      <c r="M109" s="1" t="str">
        <f>VLOOKUP(uslugi41315[[#This Row],[NIP]],nip_firm61416[],2,FALSE)</f>
        <v>FASO</v>
      </c>
    </row>
    <row r="110" spans="1:13" x14ac:dyDescent="0.25">
      <c r="A110" s="5" t="s">
        <v>294</v>
      </c>
      <c r="B110" s="6" t="s">
        <v>295</v>
      </c>
      <c r="C110" s="6" t="s">
        <v>296</v>
      </c>
      <c r="D110" s="7" t="s">
        <v>7</v>
      </c>
      <c r="F110">
        <v>4715154852</v>
      </c>
      <c r="G110" s="1" t="s">
        <v>1003</v>
      </c>
      <c r="H110" s="1" t="s">
        <v>1190</v>
      </c>
      <c r="I110" s="1" t="s">
        <v>1081</v>
      </c>
      <c r="J110">
        <v>2780</v>
      </c>
      <c r="K110" s="1" t="str">
        <f>VLOOKUP(uslugi41315[[#This Row],[ozn]],$A$2:$D$410,2,FALSE)</f>
        <v>Wroclaw</v>
      </c>
      <c r="L110" s="1">
        <f>IF(uslugi41315[[#This Row],[powiat]]="Konin",1,0)</f>
        <v>0</v>
      </c>
      <c r="M110" s="1" t="str">
        <f>VLOOKUP(uslugi41315[[#This Row],[NIP]],nip_firm61416[],2,FALSE)</f>
        <v>NAFTO-GAZ</v>
      </c>
    </row>
    <row r="111" spans="1:13" x14ac:dyDescent="0.25">
      <c r="A111" s="2" t="s">
        <v>297</v>
      </c>
      <c r="B111" s="3" t="s">
        <v>298</v>
      </c>
      <c r="C111" s="3" t="s">
        <v>299</v>
      </c>
      <c r="D111" s="4" t="s">
        <v>7</v>
      </c>
      <c r="F111">
        <v>3568004264</v>
      </c>
      <c r="G111" s="1" t="s">
        <v>428</v>
      </c>
      <c r="H111" s="1" t="s">
        <v>1191</v>
      </c>
      <c r="I111" s="1" t="s">
        <v>1081</v>
      </c>
      <c r="J111">
        <v>2720</v>
      </c>
      <c r="K111" s="1" t="str">
        <f>VLOOKUP(uslugi41315[[#This Row],[ozn]],$A$2:$D$410,2,FALSE)</f>
        <v>lubelski</v>
      </c>
      <c r="L111" s="1">
        <f>IF(uslugi41315[[#This Row],[powiat]]="Konin",1,0)</f>
        <v>0</v>
      </c>
      <c r="M111" s="1" t="str">
        <f>VLOOKUP(uslugi41315[[#This Row],[NIP]],nip_firm61416[],2,FALSE)</f>
        <v>MURATOR</v>
      </c>
    </row>
    <row r="112" spans="1:13" x14ac:dyDescent="0.25">
      <c r="A112" s="5" t="s">
        <v>300</v>
      </c>
      <c r="B112" s="6" t="s">
        <v>301</v>
      </c>
      <c r="C112" s="6" t="s">
        <v>302</v>
      </c>
      <c r="D112" s="7" t="s">
        <v>7</v>
      </c>
      <c r="F112">
        <v>5514533376</v>
      </c>
      <c r="G112" s="1" t="s">
        <v>40</v>
      </c>
      <c r="H112" s="1" t="s">
        <v>1192</v>
      </c>
      <c r="I112" s="1" t="s">
        <v>1087</v>
      </c>
      <c r="J112">
        <v>2136</v>
      </c>
      <c r="K112" s="1" t="str">
        <f>VLOOKUP(uslugi41315[[#This Row],[ozn]],$A$2:$D$410,2,FALSE)</f>
        <v>Bielsko-Biala</v>
      </c>
      <c r="L112" s="1">
        <f>IF(uslugi41315[[#This Row],[powiat]]="Konin",1,0)</f>
        <v>0</v>
      </c>
      <c r="M112" s="1" t="str">
        <f>VLOOKUP(uslugi41315[[#This Row],[NIP]],nip_firm61416[],2,FALSE)</f>
        <v>BYTOM2</v>
      </c>
    </row>
    <row r="113" spans="1:13" x14ac:dyDescent="0.25">
      <c r="A113" s="2" t="s">
        <v>303</v>
      </c>
      <c r="B113" s="3" t="s">
        <v>304</v>
      </c>
      <c r="C113" s="3" t="s">
        <v>305</v>
      </c>
      <c r="D113" s="4" t="s">
        <v>7</v>
      </c>
      <c r="F113">
        <v>5528435390</v>
      </c>
      <c r="G113" s="1" t="s">
        <v>636</v>
      </c>
      <c r="H113" s="1" t="s">
        <v>1193</v>
      </c>
      <c r="I113" s="1" t="s">
        <v>1081</v>
      </c>
      <c r="J113">
        <v>2328</v>
      </c>
      <c r="K113" s="1" t="str">
        <f>VLOOKUP(uslugi41315[[#This Row],[ozn]],$A$2:$D$410,2,FALSE)</f>
        <v>Poznan</v>
      </c>
      <c r="L113" s="1">
        <f>IF(uslugi41315[[#This Row],[powiat]]="Konin",1,0)</f>
        <v>0</v>
      </c>
      <c r="M113" s="1" t="str">
        <f>VLOOKUP(uslugi41315[[#This Row],[NIP]],nip_firm61416[],2,FALSE)</f>
        <v>ZABER</v>
      </c>
    </row>
    <row r="114" spans="1:13" x14ac:dyDescent="0.25">
      <c r="A114" s="5" t="s">
        <v>306</v>
      </c>
      <c r="B114" s="6" t="s">
        <v>307</v>
      </c>
      <c r="C114" s="6" t="s">
        <v>308</v>
      </c>
      <c r="D114" s="7" t="s">
        <v>7</v>
      </c>
      <c r="F114">
        <v>4779174699</v>
      </c>
      <c r="G114" s="1" t="s">
        <v>1003</v>
      </c>
      <c r="H114" s="1" t="s">
        <v>1194</v>
      </c>
      <c r="I114" s="1" t="s">
        <v>1081</v>
      </c>
      <c r="J114">
        <v>2920</v>
      </c>
      <c r="K114" s="1" t="str">
        <f>VLOOKUP(uslugi41315[[#This Row],[ozn]],$A$2:$D$410,2,FALSE)</f>
        <v>Wroclaw</v>
      </c>
      <c r="L114" s="1">
        <f>IF(uslugi41315[[#This Row],[powiat]]="Konin",1,0)</f>
        <v>0</v>
      </c>
      <c r="M114" s="1" t="str">
        <f>VLOOKUP(uslugi41315[[#This Row],[NIP]],nip_firm61416[],2,FALSE)</f>
        <v>FASO</v>
      </c>
    </row>
    <row r="115" spans="1:13" x14ac:dyDescent="0.25">
      <c r="A115" s="2" t="s">
        <v>309</v>
      </c>
      <c r="B115" s="3" t="s">
        <v>310</v>
      </c>
      <c r="C115" s="3" t="s">
        <v>311</v>
      </c>
      <c r="D115" s="4" t="s">
        <v>7</v>
      </c>
      <c r="F115">
        <v>4326751508</v>
      </c>
      <c r="G115" s="1" t="s">
        <v>405</v>
      </c>
      <c r="H115" s="1" t="s">
        <v>1195</v>
      </c>
      <c r="I115" s="1" t="s">
        <v>1087</v>
      </c>
      <c r="J115">
        <v>3324</v>
      </c>
      <c r="K115" s="1" t="str">
        <f>VLOOKUP(uslugi41315[[#This Row],[ozn]],$A$2:$D$410,2,FALSE)</f>
        <v>Lodz</v>
      </c>
      <c r="L115" s="1">
        <f>IF(uslugi41315[[#This Row],[powiat]]="Konin",1,0)</f>
        <v>0</v>
      </c>
      <c r="M115" s="1" t="str">
        <f>VLOOKUP(uslugi41315[[#This Row],[NIP]],nip_firm61416[],2,FALSE)</f>
        <v>WROCBUD2</v>
      </c>
    </row>
    <row r="116" spans="1:13" x14ac:dyDescent="0.25">
      <c r="A116" s="5" t="s">
        <v>312</v>
      </c>
      <c r="B116" s="6" t="s">
        <v>313</v>
      </c>
      <c r="C116" s="6" t="s">
        <v>313</v>
      </c>
      <c r="D116" s="7" t="s">
        <v>22</v>
      </c>
      <c r="F116">
        <v>1620242236</v>
      </c>
      <c r="G116" s="1" t="s">
        <v>314</v>
      </c>
      <c r="H116" s="1" t="s">
        <v>1196</v>
      </c>
      <c r="I116" s="1" t="s">
        <v>1081</v>
      </c>
      <c r="J116">
        <v>2915</v>
      </c>
      <c r="K116" s="1" t="str">
        <f>VLOOKUP(uslugi41315[[#This Row],[ozn]],$A$2:$D$410,2,FALSE)</f>
        <v>Konin</v>
      </c>
      <c r="L116" s="1">
        <f>IF(uslugi41315[[#This Row],[powiat]]="Konin",1,0)</f>
        <v>1</v>
      </c>
      <c r="M116" s="1" t="str">
        <f>VLOOKUP(uslugi41315[[#This Row],[NIP]],nip_firm61416[],2,FALSE)</f>
        <v>WIET-IND</v>
      </c>
    </row>
    <row r="117" spans="1:13" x14ac:dyDescent="0.25">
      <c r="A117" s="2" t="s">
        <v>314</v>
      </c>
      <c r="B117" s="3" t="s">
        <v>313</v>
      </c>
      <c r="C117" s="3" t="s">
        <v>313</v>
      </c>
      <c r="D117" s="4" t="s">
        <v>22</v>
      </c>
      <c r="F117">
        <v>6758177505</v>
      </c>
      <c r="G117" s="1" t="s">
        <v>862</v>
      </c>
      <c r="H117" s="1" t="s">
        <v>1197</v>
      </c>
      <c r="I117" s="1" t="s">
        <v>1087</v>
      </c>
      <c r="J117">
        <v>1930</v>
      </c>
      <c r="K117" s="1" t="str">
        <f>VLOOKUP(uslugi41315[[#This Row],[ozn]],$A$2:$D$410,2,FALSE)</f>
        <v>tarnobrzeski</v>
      </c>
      <c r="L117" s="1">
        <f>IF(uslugi41315[[#This Row],[powiat]]="Konin",1,0)</f>
        <v>0</v>
      </c>
      <c r="M117" s="1" t="str">
        <f>VLOOKUP(uslugi41315[[#This Row],[NIP]],nip_firm61416[],2,FALSE)</f>
        <v>WERTIX</v>
      </c>
    </row>
    <row r="118" spans="1:13" x14ac:dyDescent="0.25">
      <c r="A118" s="5" t="s">
        <v>315</v>
      </c>
      <c r="B118" s="6" t="s">
        <v>316</v>
      </c>
      <c r="C118" s="6" t="s">
        <v>313</v>
      </c>
      <c r="D118" s="7" t="s">
        <v>7</v>
      </c>
      <c r="F118">
        <v>6727559092</v>
      </c>
      <c r="G118" s="1" t="s">
        <v>862</v>
      </c>
      <c r="H118" s="1" t="s">
        <v>1198</v>
      </c>
      <c r="I118" s="1" t="s">
        <v>1087</v>
      </c>
      <c r="J118">
        <v>2361</v>
      </c>
      <c r="K118" s="1" t="str">
        <f>VLOOKUP(uslugi41315[[#This Row],[ozn]],$A$2:$D$410,2,FALSE)</f>
        <v>tarnobrzeski</v>
      </c>
      <c r="L118" s="1">
        <f>IF(uslugi41315[[#This Row],[powiat]]="Konin",1,0)</f>
        <v>0</v>
      </c>
      <c r="M118" s="1" t="str">
        <f>VLOOKUP(uslugi41315[[#This Row],[NIP]],nip_firm61416[],2,FALSE)</f>
        <v>ANDROPOL SP. Z. O. O.</v>
      </c>
    </row>
    <row r="119" spans="1:13" x14ac:dyDescent="0.25">
      <c r="A119" s="2" t="s">
        <v>317</v>
      </c>
      <c r="B119" s="3" t="s">
        <v>318</v>
      </c>
      <c r="C119" s="3" t="s">
        <v>319</v>
      </c>
      <c r="D119" s="4" t="s">
        <v>7</v>
      </c>
      <c r="F119">
        <v>4241680809</v>
      </c>
      <c r="G119" s="1" t="s">
        <v>636</v>
      </c>
      <c r="H119" s="1" t="s">
        <v>1199</v>
      </c>
      <c r="I119" s="1" t="s">
        <v>1087</v>
      </c>
      <c r="J119">
        <v>1863</v>
      </c>
      <c r="K119" s="1" t="str">
        <f>VLOOKUP(uslugi41315[[#This Row],[ozn]],$A$2:$D$410,2,FALSE)</f>
        <v>Poznan</v>
      </c>
      <c r="L119" s="1">
        <f>IF(uslugi41315[[#This Row],[powiat]]="Konin",1,0)</f>
        <v>0</v>
      </c>
      <c r="M119" s="1" t="str">
        <f>VLOOKUP(uslugi41315[[#This Row],[NIP]],nip_firm61416[],2,FALSE)</f>
        <v>WROCBUD4</v>
      </c>
    </row>
    <row r="120" spans="1:13" x14ac:dyDescent="0.25">
      <c r="A120" s="5" t="s">
        <v>320</v>
      </c>
      <c r="B120" s="6" t="s">
        <v>321</v>
      </c>
      <c r="C120" s="6" t="s">
        <v>322</v>
      </c>
      <c r="D120" s="7" t="s">
        <v>7</v>
      </c>
      <c r="F120">
        <v>4326751508</v>
      </c>
      <c r="G120" s="1" t="s">
        <v>40</v>
      </c>
      <c r="H120" s="1" t="s">
        <v>1200</v>
      </c>
      <c r="I120" s="1" t="s">
        <v>1081</v>
      </c>
      <c r="J120">
        <v>2420</v>
      </c>
      <c r="K120" s="1" t="str">
        <f>VLOOKUP(uslugi41315[[#This Row],[ozn]],$A$2:$D$410,2,FALSE)</f>
        <v>Bielsko-Biala</v>
      </c>
      <c r="L120" s="1">
        <f>IF(uslugi41315[[#This Row],[powiat]]="Konin",1,0)</f>
        <v>0</v>
      </c>
      <c r="M120" s="1" t="str">
        <f>VLOOKUP(uslugi41315[[#This Row],[NIP]],nip_firm61416[],2,FALSE)</f>
        <v>WROCBUD2</v>
      </c>
    </row>
    <row r="121" spans="1:13" x14ac:dyDescent="0.25">
      <c r="A121" s="2" t="s">
        <v>323</v>
      </c>
      <c r="B121" s="3" t="s">
        <v>324</v>
      </c>
      <c r="C121" s="3" t="s">
        <v>324</v>
      </c>
      <c r="D121" s="4" t="s">
        <v>22</v>
      </c>
      <c r="F121">
        <v>3470453173</v>
      </c>
      <c r="G121" s="1" t="s">
        <v>85</v>
      </c>
      <c r="H121" s="1" t="s">
        <v>1201</v>
      </c>
      <c r="I121" s="1" t="s">
        <v>1087</v>
      </c>
      <c r="J121">
        <v>2625</v>
      </c>
      <c r="K121" s="1" t="str">
        <f>VLOOKUP(uslugi41315[[#This Row],[ozn]],$A$2:$D$410,2,FALSE)</f>
        <v>Chelm</v>
      </c>
      <c r="L121" s="1">
        <f>IF(uslugi41315[[#This Row],[powiat]]="Konin",1,0)</f>
        <v>0</v>
      </c>
      <c r="M121" s="1" t="str">
        <f>VLOOKUP(uslugi41315[[#This Row],[NIP]],nip_firm61416[],2,FALSE)</f>
        <v>MASPOL</v>
      </c>
    </row>
    <row r="122" spans="1:13" x14ac:dyDescent="0.25">
      <c r="A122" s="5" t="s">
        <v>325</v>
      </c>
      <c r="B122" s="6" t="s">
        <v>326</v>
      </c>
      <c r="C122" s="6" t="s">
        <v>324</v>
      </c>
      <c r="D122" s="7" t="s">
        <v>7</v>
      </c>
      <c r="F122">
        <v>3579231044</v>
      </c>
      <c r="G122" s="1" t="s">
        <v>370</v>
      </c>
      <c r="H122" s="1" t="s">
        <v>1202</v>
      </c>
      <c r="I122" s="1" t="s">
        <v>1087</v>
      </c>
      <c r="J122">
        <v>2314</v>
      </c>
      <c r="K122" s="1" t="str">
        <f>VLOOKUP(uslugi41315[[#This Row],[ozn]],$A$2:$D$410,2,FALSE)</f>
        <v>leczynski</v>
      </c>
      <c r="L122" s="1">
        <f>IF(uslugi41315[[#This Row],[powiat]]="Konin",1,0)</f>
        <v>0</v>
      </c>
      <c r="M122" s="1" t="str">
        <f>VLOOKUP(uslugi41315[[#This Row],[NIP]],nip_firm61416[],2,FALSE)</f>
        <v>BAZALT S. A.</v>
      </c>
    </row>
    <row r="123" spans="1:13" x14ac:dyDescent="0.25">
      <c r="A123" s="2" t="s">
        <v>327</v>
      </c>
      <c r="B123" s="3" t="s">
        <v>328</v>
      </c>
      <c r="C123" s="3" t="s">
        <v>329</v>
      </c>
      <c r="D123" s="4" t="s">
        <v>7</v>
      </c>
      <c r="F123">
        <v>2119268767</v>
      </c>
      <c r="G123" s="1" t="s">
        <v>141</v>
      </c>
      <c r="H123" s="1" t="s">
        <v>1203</v>
      </c>
      <c r="I123" s="1" t="s">
        <v>1087</v>
      </c>
      <c r="J123">
        <v>2340</v>
      </c>
      <c r="K123" s="1" t="str">
        <f>VLOOKUP(uslugi41315[[#This Row],[ozn]],$A$2:$D$410,2,FALSE)</f>
        <v>elblaski</v>
      </c>
      <c r="L123" s="1">
        <f>IF(uslugi41315[[#This Row],[powiat]]="Konin",1,0)</f>
        <v>0</v>
      </c>
      <c r="M123" s="1" t="str">
        <f>VLOOKUP(uslugi41315[[#This Row],[NIP]],nip_firm61416[],2,FALSE)</f>
        <v>PETROLEUM</v>
      </c>
    </row>
    <row r="124" spans="1:13" x14ac:dyDescent="0.25">
      <c r="A124" s="5" t="s">
        <v>330</v>
      </c>
      <c r="B124" s="6" t="s">
        <v>331</v>
      </c>
      <c r="C124" s="6" t="s">
        <v>331</v>
      </c>
      <c r="D124" s="7" t="s">
        <v>22</v>
      </c>
      <c r="F124">
        <v>1620242236</v>
      </c>
      <c r="G124" s="1" t="s">
        <v>314</v>
      </c>
      <c r="H124" s="1" t="s">
        <v>1204</v>
      </c>
      <c r="I124" s="1" t="s">
        <v>1081</v>
      </c>
      <c r="J124">
        <v>2181</v>
      </c>
      <c r="K124" s="1" t="str">
        <f>VLOOKUP(uslugi41315[[#This Row],[ozn]],$A$2:$D$410,2,FALSE)</f>
        <v>Konin</v>
      </c>
      <c r="L124" s="1">
        <f>IF(uslugi41315[[#This Row],[powiat]]="Konin",1,0)</f>
        <v>1</v>
      </c>
      <c r="M124" s="1" t="str">
        <f>VLOOKUP(uslugi41315[[#This Row],[NIP]],nip_firm61416[],2,FALSE)</f>
        <v>WIET-IND</v>
      </c>
    </row>
    <row r="125" spans="1:13" x14ac:dyDescent="0.25">
      <c r="A125" s="2" t="s">
        <v>332</v>
      </c>
      <c r="B125" s="3" t="s">
        <v>333</v>
      </c>
      <c r="C125" s="3" t="s">
        <v>331</v>
      </c>
      <c r="D125" s="4" t="s">
        <v>7</v>
      </c>
      <c r="F125">
        <v>4326751508</v>
      </c>
      <c r="G125" s="1" t="s">
        <v>40</v>
      </c>
      <c r="H125" s="1" t="s">
        <v>1205</v>
      </c>
      <c r="I125" s="1" t="s">
        <v>1081</v>
      </c>
      <c r="J125">
        <v>2800</v>
      </c>
      <c r="K125" s="1" t="str">
        <f>VLOOKUP(uslugi41315[[#This Row],[ozn]],$A$2:$D$410,2,FALSE)</f>
        <v>Bielsko-Biala</v>
      </c>
      <c r="L125" s="1">
        <f>IF(uslugi41315[[#This Row],[powiat]]="Konin",1,0)</f>
        <v>0</v>
      </c>
      <c r="M125" s="1" t="str">
        <f>VLOOKUP(uslugi41315[[#This Row],[NIP]],nip_firm61416[],2,FALSE)</f>
        <v>WROCBUD2</v>
      </c>
    </row>
    <row r="126" spans="1:13" x14ac:dyDescent="0.25">
      <c r="A126" s="5" t="s">
        <v>334</v>
      </c>
      <c r="B126" s="6" t="s">
        <v>335</v>
      </c>
      <c r="C126" s="6" t="s">
        <v>336</v>
      </c>
      <c r="D126" s="7" t="s">
        <v>7</v>
      </c>
      <c r="F126">
        <v>1278408463</v>
      </c>
      <c r="G126" s="1" t="s">
        <v>312</v>
      </c>
      <c r="H126" s="1" t="s">
        <v>1206</v>
      </c>
      <c r="I126" s="1" t="s">
        <v>1087</v>
      </c>
      <c r="J126">
        <v>2589</v>
      </c>
      <c r="K126" s="1" t="str">
        <f>VLOOKUP(uslugi41315[[#This Row],[ozn]],$A$2:$D$410,2,FALSE)</f>
        <v>Konin</v>
      </c>
      <c r="L126" s="1">
        <f>IF(uslugi41315[[#This Row],[powiat]]="Konin",1,0)</f>
        <v>1</v>
      </c>
      <c r="M126" s="1" t="str">
        <f>VLOOKUP(uslugi41315[[#This Row],[NIP]],nip_firm61416[],2,FALSE)</f>
        <v>REFAMUR</v>
      </c>
    </row>
    <row r="127" spans="1:13" x14ac:dyDescent="0.25">
      <c r="A127" s="2" t="s">
        <v>337</v>
      </c>
      <c r="B127" s="3" t="s">
        <v>338</v>
      </c>
      <c r="C127" s="3" t="s">
        <v>339</v>
      </c>
      <c r="D127" s="4" t="s">
        <v>7</v>
      </c>
      <c r="F127">
        <v>1939065269</v>
      </c>
      <c r="G127" s="1" t="s">
        <v>636</v>
      </c>
      <c r="H127" s="1" t="s">
        <v>1207</v>
      </c>
      <c r="I127" s="1" t="s">
        <v>1081</v>
      </c>
      <c r="J127">
        <v>2360</v>
      </c>
      <c r="K127" s="1" t="str">
        <f>VLOOKUP(uslugi41315[[#This Row],[ozn]],$A$2:$D$410,2,FALSE)</f>
        <v>Poznan</v>
      </c>
      <c r="L127" s="1">
        <f>IF(uslugi41315[[#This Row],[powiat]]="Konin",1,0)</f>
        <v>0</v>
      </c>
      <c r="M127" s="1" t="str">
        <f>VLOOKUP(uslugi41315[[#This Row],[NIP]],nip_firm61416[],2,FALSE)</f>
        <v>KUSTMASZ</v>
      </c>
    </row>
    <row r="128" spans="1:13" x14ac:dyDescent="0.25">
      <c r="A128" s="5" t="s">
        <v>340</v>
      </c>
      <c r="B128" s="6" t="s">
        <v>341</v>
      </c>
      <c r="C128" s="6" t="s">
        <v>342</v>
      </c>
      <c r="D128" s="7" t="s">
        <v>7</v>
      </c>
      <c r="F128">
        <v>3783578981</v>
      </c>
      <c r="G128" s="1" t="s">
        <v>405</v>
      </c>
      <c r="H128" s="1" t="s">
        <v>1208</v>
      </c>
      <c r="I128" s="1" t="s">
        <v>1087</v>
      </c>
      <c r="J128">
        <v>2185</v>
      </c>
      <c r="K128" s="1" t="str">
        <f>VLOOKUP(uslugi41315[[#This Row],[ozn]],$A$2:$D$410,2,FALSE)</f>
        <v>Lodz</v>
      </c>
      <c r="L128" s="1">
        <f>IF(uslugi41315[[#This Row],[powiat]]="Konin",1,0)</f>
        <v>0</v>
      </c>
      <c r="M128" s="1" t="str">
        <f>VLOOKUP(uslugi41315[[#This Row],[NIP]],nip_firm61416[],2,FALSE)</f>
        <v>LUBEX</v>
      </c>
    </row>
    <row r="129" spans="1:13" x14ac:dyDescent="0.25">
      <c r="A129" s="2" t="s">
        <v>343</v>
      </c>
      <c r="B129" s="3" t="s">
        <v>344</v>
      </c>
      <c r="C129" s="3" t="s">
        <v>345</v>
      </c>
      <c r="D129" s="4" t="s">
        <v>7</v>
      </c>
      <c r="F129">
        <v>4241680809</v>
      </c>
      <c r="G129" s="1" t="s">
        <v>636</v>
      </c>
      <c r="H129" s="1" t="s">
        <v>1209</v>
      </c>
      <c r="I129" s="1" t="s">
        <v>1081</v>
      </c>
      <c r="J129">
        <v>2319</v>
      </c>
      <c r="K129" s="1" t="str">
        <f>VLOOKUP(uslugi41315[[#This Row],[ozn]],$A$2:$D$410,2,FALSE)</f>
        <v>Poznan</v>
      </c>
      <c r="L129" s="1">
        <f>IF(uslugi41315[[#This Row],[powiat]]="Konin",1,0)</f>
        <v>0</v>
      </c>
      <c r="M129" s="1" t="str">
        <f>VLOOKUP(uslugi41315[[#This Row],[NIP]],nip_firm61416[],2,FALSE)</f>
        <v>WROCBUD4</v>
      </c>
    </row>
    <row r="130" spans="1:13" x14ac:dyDescent="0.25">
      <c r="A130" s="5" t="s">
        <v>346</v>
      </c>
      <c r="B130" s="6" t="s">
        <v>344</v>
      </c>
      <c r="C130" s="6" t="s">
        <v>347</v>
      </c>
      <c r="D130" s="7" t="s">
        <v>7</v>
      </c>
      <c r="F130">
        <v>4761158900</v>
      </c>
      <c r="G130" s="1" t="s">
        <v>294</v>
      </c>
      <c r="H130" s="1" t="s">
        <v>1210</v>
      </c>
      <c r="I130" s="1" t="s">
        <v>1081</v>
      </c>
      <c r="J130">
        <v>2208</v>
      </c>
      <c r="K130" s="1" t="str">
        <f>VLOOKUP(uslugi41315[[#This Row],[ozn]],$A$2:$D$410,2,FALSE)</f>
        <v>kluczborski</v>
      </c>
      <c r="L130" s="1">
        <f>IF(uslugi41315[[#This Row],[powiat]]="Konin",1,0)</f>
        <v>0</v>
      </c>
      <c r="M130" s="1" t="str">
        <f>VLOOKUP(uslugi41315[[#This Row],[NIP]],nip_firm61416[],2,FALSE)</f>
        <v>WROCBUD3</v>
      </c>
    </row>
    <row r="131" spans="1:13" x14ac:dyDescent="0.25">
      <c r="A131" s="2" t="s">
        <v>348</v>
      </c>
      <c r="B131" s="3" t="s">
        <v>345</v>
      </c>
      <c r="C131" s="3" t="s">
        <v>345</v>
      </c>
      <c r="D131" s="4" t="s">
        <v>22</v>
      </c>
      <c r="F131">
        <v>3866883575</v>
      </c>
      <c r="G131" s="1" t="s">
        <v>434</v>
      </c>
      <c r="H131" s="1" t="s">
        <v>1211</v>
      </c>
      <c r="I131" s="1" t="s">
        <v>1087</v>
      </c>
      <c r="J131">
        <v>1520</v>
      </c>
      <c r="K131" s="1" t="str">
        <f>VLOOKUP(uslugi41315[[#This Row],[ozn]],$A$2:$D$410,2,FALSE)</f>
        <v>Lublin</v>
      </c>
      <c r="L131" s="1">
        <f>IF(uslugi41315[[#This Row],[powiat]]="Konin",1,0)</f>
        <v>0</v>
      </c>
      <c r="M131" s="1" t="str">
        <f>VLOOKUP(uslugi41315[[#This Row],[NIP]],nip_firm61416[],2,FALSE)</f>
        <v>KPICO</v>
      </c>
    </row>
    <row r="132" spans="1:13" x14ac:dyDescent="0.25">
      <c r="A132" s="5" t="s">
        <v>349</v>
      </c>
      <c r="B132" s="6" t="s">
        <v>350</v>
      </c>
      <c r="C132" s="6" t="s">
        <v>351</v>
      </c>
      <c r="D132" s="7" t="s">
        <v>7</v>
      </c>
      <c r="F132">
        <v>1127056356</v>
      </c>
      <c r="G132" s="1" t="s">
        <v>317</v>
      </c>
      <c r="H132" s="1" t="s">
        <v>1212</v>
      </c>
      <c r="I132" s="1" t="s">
        <v>1081</v>
      </c>
      <c r="J132">
        <v>2050</v>
      </c>
      <c r="K132" s="1" t="str">
        <f>VLOOKUP(uslugi41315[[#This Row],[ozn]],$A$2:$D$410,2,FALSE)</f>
        <v>koscianski</v>
      </c>
      <c r="L132" s="1">
        <f>IF(uslugi41315[[#This Row],[powiat]]="Konin",1,0)</f>
        <v>0</v>
      </c>
      <c r="M132" s="1" t="str">
        <f>VLOOKUP(uslugi41315[[#This Row],[NIP]],nip_firm61416[],2,FALSE)</f>
        <v>KONSBET</v>
      </c>
    </row>
    <row r="133" spans="1:13" x14ac:dyDescent="0.25">
      <c r="A133" s="2" t="s">
        <v>352</v>
      </c>
      <c r="B133" s="3" t="s">
        <v>353</v>
      </c>
      <c r="C133" s="3" t="s">
        <v>354</v>
      </c>
      <c r="D133" s="4" t="s">
        <v>7</v>
      </c>
      <c r="F133">
        <v>1620242236</v>
      </c>
      <c r="G133" s="1" t="s">
        <v>314</v>
      </c>
      <c r="H133" s="1" t="s">
        <v>1213</v>
      </c>
      <c r="I133" s="1" t="s">
        <v>1087</v>
      </c>
      <c r="J133">
        <v>2336</v>
      </c>
      <c r="K133" s="1" t="str">
        <f>VLOOKUP(uslugi41315[[#This Row],[ozn]],$A$2:$D$410,2,FALSE)</f>
        <v>Konin</v>
      </c>
      <c r="L133" s="1">
        <f>IF(uslugi41315[[#This Row],[powiat]]="Konin",1,0)</f>
        <v>1</v>
      </c>
      <c r="M133" s="1" t="str">
        <f>VLOOKUP(uslugi41315[[#This Row],[NIP]],nip_firm61416[],2,FALSE)</f>
        <v>WIET-IND</v>
      </c>
    </row>
    <row r="134" spans="1:13" x14ac:dyDescent="0.25">
      <c r="A134" s="5" t="s">
        <v>355</v>
      </c>
      <c r="B134" s="6" t="s">
        <v>356</v>
      </c>
      <c r="C134" s="6" t="s">
        <v>357</v>
      </c>
      <c r="D134" s="7" t="s">
        <v>7</v>
      </c>
      <c r="F134">
        <v>6727559092</v>
      </c>
      <c r="G134" s="1" t="s">
        <v>862</v>
      </c>
      <c r="H134" s="1" t="s">
        <v>1214</v>
      </c>
      <c r="I134" s="1" t="s">
        <v>1087</v>
      </c>
      <c r="J134">
        <v>2034</v>
      </c>
      <c r="K134" s="1" t="str">
        <f>VLOOKUP(uslugi41315[[#This Row],[ozn]],$A$2:$D$410,2,FALSE)</f>
        <v>tarnobrzeski</v>
      </c>
      <c r="L134" s="1">
        <f>IF(uslugi41315[[#This Row],[powiat]]="Konin",1,0)</f>
        <v>0</v>
      </c>
      <c r="M134" s="1" t="str">
        <f>VLOOKUP(uslugi41315[[#This Row],[NIP]],nip_firm61416[],2,FALSE)</f>
        <v>ANDROPOL SP. Z. O. O.</v>
      </c>
    </row>
    <row r="135" spans="1:13" x14ac:dyDescent="0.25">
      <c r="A135" s="2" t="s">
        <v>358</v>
      </c>
      <c r="B135" s="3" t="s">
        <v>359</v>
      </c>
      <c r="C135" s="3" t="s">
        <v>360</v>
      </c>
      <c r="D135" s="4" t="s">
        <v>7</v>
      </c>
      <c r="F135">
        <v>3318203338</v>
      </c>
      <c r="G135" s="1" t="s">
        <v>636</v>
      </c>
      <c r="H135" s="1" t="s">
        <v>1215</v>
      </c>
      <c r="I135" s="1" t="s">
        <v>1087</v>
      </c>
      <c r="J135">
        <v>1900</v>
      </c>
      <c r="K135" s="1" t="str">
        <f>VLOOKUP(uslugi41315[[#This Row],[ozn]],$A$2:$D$410,2,FALSE)</f>
        <v>Poznan</v>
      </c>
      <c r="L135" s="1">
        <f>IF(uslugi41315[[#This Row],[powiat]]="Konin",1,0)</f>
        <v>0</v>
      </c>
      <c r="M135" s="1" t="str">
        <f>VLOOKUP(uslugi41315[[#This Row],[NIP]],nip_firm61416[],2,FALSE)</f>
        <v>LUBLIN1</v>
      </c>
    </row>
    <row r="136" spans="1:13" x14ac:dyDescent="0.25">
      <c r="A136" s="5" t="s">
        <v>361</v>
      </c>
      <c r="B136" s="6" t="s">
        <v>362</v>
      </c>
      <c r="C136" s="6" t="s">
        <v>363</v>
      </c>
      <c r="D136" s="7" t="s">
        <v>7</v>
      </c>
      <c r="F136">
        <v>5185759244</v>
      </c>
      <c r="G136" s="1" t="s">
        <v>636</v>
      </c>
      <c r="H136" s="1" t="s">
        <v>1216</v>
      </c>
      <c r="I136" s="1" t="s">
        <v>1081</v>
      </c>
      <c r="J136">
        <v>2277</v>
      </c>
      <c r="K136" s="1" t="str">
        <f>VLOOKUP(uslugi41315[[#This Row],[ozn]],$A$2:$D$410,2,FALSE)</f>
        <v>Poznan</v>
      </c>
      <c r="L136" s="1">
        <f>IF(uslugi41315[[#This Row],[powiat]]="Konin",1,0)</f>
        <v>0</v>
      </c>
      <c r="M136" s="1" t="str">
        <f>VLOOKUP(uslugi41315[[#This Row],[NIP]],nip_firm61416[],2,FALSE)</f>
        <v>BYTOM1</v>
      </c>
    </row>
    <row r="137" spans="1:13" x14ac:dyDescent="0.25">
      <c r="A137" s="2" t="s">
        <v>364</v>
      </c>
      <c r="B137" s="3" t="s">
        <v>365</v>
      </c>
      <c r="C137" s="3" t="s">
        <v>366</v>
      </c>
      <c r="D137" s="4" t="s">
        <v>7</v>
      </c>
      <c r="F137">
        <v>3866883575</v>
      </c>
      <c r="G137" s="1" t="s">
        <v>434</v>
      </c>
      <c r="H137" s="1" t="s">
        <v>1217</v>
      </c>
      <c r="I137" s="1" t="s">
        <v>1087</v>
      </c>
      <c r="J137">
        <v>2994</v>
      </c>
      <c r="K137" s="1" t="str">
        <f>VLOOKUP(uslugi41315[[#This Row],[ozn]],$A$2:$D$410,2,FALSE)</f>
        <v>Lublin</v>
      </c>
      <c r="L137" s="1">
        <f>IF(uslugi41315[[#This Row],[powiat]]="Konin",1,0)</f>
        <v>0</v>
      </c>
      <c r="M137" s="1" t="str">
        <f>VLOOKUP(uslugi41315[[#This Row],[NIP]],nip_firm61416[],2,FALSE)</f>
        <v>KPICO</v>
      </c>
    </row>
    <row r="138" spans="1:13" x14ac:dyDescent="0.25">
      <c r="A138" s="5" t="s">
        <v>367</v>
      </c>
      <c r="B138" s="6" t="s">
        <v>368</v>
      </c>
      <c r="C138" s="6" t="s">
        <v>369</v>
      </c>
      <c r="D138" s="7" t="s">
        <v>7</v>
      </c>
      <c r="F138">
        <v>6727559092</v>
      </c>
      <c r="G138" s="1" t="s">
        <v>862</v>
      </c>
      <c r="H138" s="1" t="s">
        <v>1218</v>
      </c>
      <c r="I138" s="1" t="s">
        <v>1087</v>
      </c>
      <c r="J138">
        <v>2315</v>
      </c>
      <c r="K138" s="1" t="str">
        <f>VLOOKUP(uslugi41315[[#This Row],[ozn]],$A$2:$D$410,2,FALSE)</f>
        <v>tarnobrzeski</v>
      </c>
      <c r="L138" s="1">
        <f>IF(uslugi41315[[#This Row],[powiat]]="Konin",1,0)</f>
        <v>0</v>
      </c>
      <c r="M138" s="1" t="str">
        <f>VLOOKUP(uslugi41315[[#This Row],[NIP]],nip_firm61416[],2,FALSE)</f>
        <v>ANDROPOL SP. Z. O. O.</v>
      </c>
    </row>
    <row r="139" spans="1:13" x14ac:dyDescent="0.25">
      <c r="A139" s="2" t="s">
        <v>370</v>
      </c>
      <c r="B139" s="3" t="s">
        <v>371</v>
      </c>
      <c r="C139" s="3" t="s">
        <v>372</v>
      </c>
      <c r="D139" s="4" t="s">
        <v>7</v>
      </c>
      <c r="F139">
        <v>1165493421</v>
      </c>
      <c r="G139" s="1" t="s">
        <v>636</v>
      </c>
      <c r="H139" s="1" t="s">
        <v>1219</v>
      </c>
      <c r="I139" s="1" t="s">
        <v>1087</v>
      </c>
      <c r="J139">
        <v>2560</v>
      </c>
      <c r="K139" s="1" t="str">
        <f>VLOOKUP(uslugi41315[[#This Row],[ozn]],$A$2:$D$410,2,FALSE)</f>
        <v>Poznan</v>
      </c>
      <c r="L139" s="1">
        <f>IF(uslugi41315[[#This Row],[powiat]]="Konin",1,0)</f>
        <v>0</v>
      </c>
      <c r="M139" s="1" t="str">
        <f>VLOOKUP(uslugi41315[[#This Row],[NIP]],nip_firm61416[],2,FALSE)</f>
        <v>LESZNO</v>
      </c>
    </row>
    <row r="140" spans="1:13" x14ac:dyDescent="0.25">
      <c r="A140" s="5" t="s">
        <v>373</v>
      </c>
      <c r="B140" s="6" t="s">
        <v>374</v>
      </c>
      <c r="C140" s="6" t="s">
        <v>375</v>
      </c>
      <c r="D140" s="7" t="s">
        <v>7</v>
      </c>
      <c r="F140">
        <v>4796841112</v>
      </c>
      <c r="G140" s="1" t="s">
        <v>533</v>
      </c>
      <c r="H140" s="1" t="s">
        <v>1220</v>
      </c>
      <c r="I140" s="1" t="s">
        <v>1087</v>
      </c>
      <c r="J140">
        <v>2391</v>
      </c>
      <c r="K140" s="1" t="str">
        <f>VLOOKUP(uslugi41315[[#This Row],[ozn]],$A$2:$D$410,2,FALSE)</f>
        <v>olawski</v>
      </c>
      <c r="L140" s="1">
        <f>IF(uslugi41315[[#This Row],[powiat]]="Konin",1,0)</f>
        <v>0</v>
      </c>
      <c r="M140" s="1" t="str">
        <f>VLOOKUP(uslugi41315[[#This Row],[NIP]],nip_firm61416[],2,FALSE)</f>
        <v>WARM S. A.</v>
      </c>
    </row>
    <row r="141" spans="1:13" x14ac:dyDescent="0.25">
      <c r="A141" s="2" t="s">
        <v>376</v>
      </c>
      <c r="B141" s="3" t="s">
        <v>377</v>
      </c>
      <c r="C141" s="3" t="s">
        <v>377</v>
      </c>
      <c r="D141" s="4" t="s">
        <v>22</v>
      </c>
      <c r="F141">
        <v>5115061689</v>
      </c>
      <c r="G141" s="1" t="s">
        <v>702</v>
      </c>
      <c r="H141" s="1" t="s">
        <v>1221</v>
      </c>
      <c r="I141" s="1" t="s">
        <v>1087</v>
      </c>
      <c r="J141">
        <v>2085</v>
      </c>
      <c r="K141" s="1" t="str">
        <f>VLOOKUP(uslugi41315[[#This Row],[ozn]],$A$2:$D$410,2,FALSE)</f>
        <v>Ruda Slaska</v>
      </c>
      <c r="L141" s="1">
        <f>IF(uslugi41315[[#This Row],[powiat]]="Konin",1,0)</f>
        <v>0</v>
      </c>
      <c r="M141" s="1" t="str">
        <f>VLOOKUP(uslugi41315[[#This Row],[NIP]],nip_firm61416[],2,FALSE)</f>
        <v>BETON-STAL</v>
      </c>
    </row>
    <row r="142" spans="1:13" x14ac:dyDescent="0.25">
      <c r="A142" s="5" t="s">
        <v>378</v>
      </c>
      <c r="B142" s="6" t="s">
        <v>379</v>
      </c>
      <c r="C142" s="6" t="s">
        <v>377</v>
      </c>
      <c r="D142" s="7" t="s">
        <v>7</v>
      </c>
      <c r="F142">
        <v>1599095267</v>
      </c>
      <c r="G142" s="1" t="s">
        <v>636</v>
      </c>
      <c r="H142" s="1" t="s">
        <v>1222</v>
      </c>
      <c r="I142" s="1" t="s">
        <v>1087</v>
      </c>
      <c r="J142">
        <v>2105</v>
      </c>
      <c r="K142" s="1" t="str">
        <f>VLOOKUP(uslugi41315[[#This Row],[ozn]],$A$2:$D$410,2,FALSE)</f>
        <v>Poznan</v>
      </c>
      <c r="L142" s="1">
        <f>IF(uslugi41315[[#This Row],[powiat]]="Konin",1,0)</f>
        <v>0</v>
      </c>
      <c r="M142" s="1" t="str">
        <f>VLOOKUP(uslugi41315[[#This Row],[NIP]],nip_firm61416[],2,FALSE)</f>
        <v>ZONAN</v>
      </c>
    </row>
    <row r="143" spans="1:13" x14ac:dyDescent="0.25">
      <c r="A143" s="2" t="s">
        <v>380</v>
      </c>
      <c r="B143" s="3" t="s">
        <v>381</v>
      </c>
      <c r="C143" s="3" t="s">
        <v>382</v>
      </c>
      <c r="D143" s="4" t="s">
        <v>7</v>
      </c>
      <c r="F143">
        <v>3866883575</v>
      </c>
      <c r="G143" s="1" t="s">
        <v>434</v>
      </c>
      <c r="H143" s="1" t="s">
        <v>1223</v>
      </c>
      <c r="I143" s="1" t="s">
        <v>1087</v>
      </c>
      <c r="J143">
        <v>1928</v>
      </c>
      <c r="K143" s="1" t="str">
        <f>VLOOKUP(uslugi41315[[#This Row],[ozn]],$A$2:$D$410,2,FALSE)</f>
        <v>Lublin</v>
      </c>
      <c r="L143" s="1">
        <f>IF(uslugi41315[[#This Row],[powiat]]="Konin",1,0)</f>
        <v>0</v>
      </c>
      <c r="M143" s="1" t="str">
        <f>VLOOKUP(uslugi41315[[#This Row],[NIP]],nip_firm61416[],2,FALSE)</f>
        <v>KPICO</v>
      </c>
    </row>
    <row r="144" spans="1:13" x14ac:dyDescent="0.25">
      <c r="A144" s="5" t="s">
        <v>383</v>
      </c>
      <c r="B144" s="6" t="s">
        <v>384</v>
      </c>
      <c r="C144" s="6" t="s">
        <v>385</v>
      </c>
      <c r="D144" s="7" t="s">
        <v>7</v>
      </c>
      <c r="F144">
        <v>4779174699</v>
      </c>
      <c r="G144" s="1" t="s">
        <v>1003</v>
      </c>
      <c r="H144" s="1" t="s">
        <v>1224</v>
      </c>
      <c r="I144" s="1" t="s">
        <v>1081</v>
      </c>
      <c r="J144">
        <v>1852</v>
      </c>
      <c r="K144" s="1" t="str">
        <f>VLOOKUP(uslugi41315[[#This Row],[ozn]],$A$2:$D$410,2,FALSE)</f>
        <v>Wroclaw</v>
      </c>
      <c r="L144" s="1">
        <f>IF(uslugi41315[[#This Row],[powiat]]="Konin",1,0)</f>
        <v>0</v>
      </c>
      <c r="M144" s="1" t="str">
        <f>VLOOKUP(uslugi41315[[#This Row],[NIP]],nip_firm61416[],2,FALSE)</f>
        <v>FASO</v>
      </c>
    </row>
    <row r="145" spans="1:13" x14ac:dyDescent="0.25">
      <c r="A145" s="2" t="s">
        <v>386</v>
      </c>
      <c r="B145" s="3" t="s">
        <v>385</v>
      </c>
      <c r="C145" s="3" t="s">
        <v>385</v>
      </c>
      <c r="D145" s="4" t="s">
        <v>22</v>
      </c>
      <c r="F145">
        <v>3866883575</v>
      </c>
      <c r="G145" s="1" t="s">
        <v>434</v>
      </c>
      <c r="H145" s="1" t="s">
        <v>1225</v>
      </c>
      <c r="I145" s="1" t="s">
        <v>1087</v>
      </c>
      <c r="J145">
        <v>2784</v>
      </c>
      <c r="K145" s="1" t="str">
        <f>VLOOKUP(uslugi41315[[#This Row],[ozn]],$A$2:$D$410,2,FALSE)</f>
        <v>Lublin</v>
      </c>
      <c r="L145" s="1">
        <f>IF(uslugi41315[[#This Row],[powiat]]="Konin",1,0)</f>
        <v>0</v>
      </c>
      <c r="M145" s="1" t="str">
        <f>VLOOKUP(uslugi41315[[#This Row],[NIP]],nip_firm61416[],2,FALSE)</f>
        <v>KPICO</v>
      </c>
    </row>
    <row r="146" spans="1:13" x14ac:dyDescent="0.25">
      <c r="A146" s="5" t="s">
        <v>387</v>
      </c>
      <c r="B146" s="6" t="s">
        <v>388</v>
      </c>
      <c r="C146" s="6" t="s">
        <v>389</v>
      </c>
      <c r="D146" s="7" t="s">
        <v>7</v>
      </c>
      <c r="F146">
        <v>4779174699</v>
      </c>
      <c r="G146" s="1" t="s">
        <v>1003</v>
      </c>
      <c r="H146" s="1" t="s">
        <v>1226</v>
      </c>
      <c r="I146" s="1" t="s">
        <v>1087</v>
      </c>
      <c r="J146">
        <v>2348</v>
      </c>
      <c r="K146" s="1" t="str">
        <f>VLOOKUP(uslugi41315[[#This Row],[ozn]],$A$2:$D$410,2,FALSE)</f>
        <v>Wroclaw</v>
      </c>
      <c r="L146" s="1">
        <f>IF(uslugi41315[[#This Row],[powiat]]="Konin",1,0)</f>
        <v>0</v>
      </c>
      <c r="M146" s="1" t="str">
        <f>VLOOKUP(uslugi41315[[#This Row],[NIP]],nip_firm61416[],2,FALSE)</f>
        <v>FASO</v>
      </c>
    </row>
    <row r="147" spans="1:13" x14ac:dyDescent="0.25">
      <c r="A147" s="2" t="s">
        <v>390</v>
      </c>
      <c r="B147" s="3" t="s">
        <v>391</v>
      </c>
      <c r="C147" s="3" t="s">
        <v>392</v>
      </c>
      <c r="D147" s="4" t="s">
        <v>7</v>
      </c>
      <c r="F147">
        <v>3318203338</v>
      </c>
      <c r="G147" s="1" t="s">
        <v>248</v>
      </c>
      <c r="H147" s="1" t="s">
        <v>1227</v>
      </c>
      <c r="I147" s="1" t="s">
        <v>1087</v>
      </c>
      <c r="J147">
        <v>2305</v>
      </c>
      <c r="K147" s="1" t="str">
        <f>VLOOKUP(uslugi41315[[#This Row],[ozn]],$A$2:$D$410,2,FALSE)</f>
        <v>Jaworzno</v>
      </c>
      <c r="L147" s="1">
        <f>IF(uslugi41315[[#This Row],[powiat]]="Konin",1,0)</f>
        <v>0</v>
      </c>
      <c r="M147" s="1" t="str">
        <f>VLOOKUP(uslugi41315[[#This Row],[NIP]],nip_firm61416[],2,FALSE)</f>
        <v>LUBLIN1</v>
      </c>
    </row>
    <row r="148" spans="1:13" x14ac:dyDescent="0.25">
      <c r="A148" s="5" t="s">
        <v>393</v>
      </c>
      <c r="B148" s="6" t="s">
        <v>394</v>
      </c>
      <c r="C148" s="6" t="s">
        <v>395</v>
      </c>
      <c r="D148" s="7" t="s">
        <v>7</v>
      </c>
      <c r="F148">
        <v>1433397952</v>
      </c>
      <c r="G148" s="1" t="s">
        <v>314</v>
      </c>
      <c r="H148" s="1" t="s">
        <v>1228</v>
      </c>
      <c r="I148" s="1" t="s">
        <v>1081</v>
      </c>
      <c r="J148">
        <v>2282</v>
      </c>
      <c r="K148" s="1" t="str">
        <f>VLOOKUP(uslugi41315[[#This Row],[ozn]],$A$2:$D$410,2,FALSE)</f>
        <v>Konin</v>
      </c>
      <c r="L148" s="1">
        <f>IF(uslugi41315[[#This Row],[powiat]]="Konin",1,0)</f>
        <v>1</v>
      </c>
      <c r="M148" s="1" t="str">
        <f>VLOOKUP(uslugi41315[[#This Row],[NIP]],nip_firm61416[],2,FALSE)</f>
        <v>BARTEX</v>
      </c>
    </row>
    <row r="149" spans="1:13" x14ac:dyDescent="0.25">
      <c r="A149" s="2" t="s">
        <v>396</v>
      </c>
      <c r="B149" s="3" t="s">
        <v>397</v>
      </c>
      <c r="C149" s="3" t="s">
        <v>398</v>
      </c>
      <c r="D149" s="4" t="s">
        <v>7</v>
      </c>
      <c r="F149">
        <v>4326751508</v>
      </c>
      <c r="G149" s="1" t="s">
        <v>405</v>
      </c>
      <c r="H149" s="1" t="s">
        <v>1229</v>
      </c>
      <c r="I149" s="1" t="s">
        <v>1081</v>
      </c>
      <c r="J149">
        <v>2408</v>
      </c>
      <c r="K149" s="1" t="str">
        <f>VLOOKUP(uslugi41315[[#This Row],[ozn]],$A$2:$D$410,2,FALSE)</f>
        <v>Lodz</v>
      </c>
      <c r="L149" s="1">
        <f>IF(uslugi41315[[#This Row],[powiat]]="Konin",1,0)</f>
        <v>0</v>
      </c>
      <c r="M149" s="1" t="str">
        <f>VLOOKUP(uslugi41315[[#This Row],[NIP]],nip_firm61416[],2,FALSE)</f>
        <v>WROCBUD2</v>
      </c>
    </row>
    <row r="150" spans="1:13" x14ac:dyDescent="0.25">
      <c r="A150" s="5" t="s">
        <v>399</v>
      </c>
      <c r="B150" s="6" t="s">
        <v>400</v>
      </c>
      <c r="C150" s="6" t="s">
        <v>401</v>
      </c>
      <c r="D150" s="7" t="s">
        <v>7</v>
      </c>
      <c r="F150">
        <v>3470453173</v>
      </c>
      <c r="G150" s="1" t="s">
        <v>85</v>
      </c>
      <c r="H150" s="1" t="s">
        <v>1230</v>
      </c>
      <c r="I150" s="1" t="s">
        <v>1087</v>
      </c>
      <c r="J150">
        <v>1835</v>
      </c>
      <c r="K150" s="1" t="str">
        <f>VLOOKUP(uslugi41315[[#This Row],[ozn]],$A$2:$D$410,2,FALSE)</f>
        <v>Chelm</v>
      </c>
      <c r="L150" s="1">
        <f>IF(uslugi41315[[#This Row],[powiat]]="Konin",1,0)</f>
        <v>0</v>
      </c>
      <c r="M150" s="1" t="str">
        <f>VLOOKUP(uslugi41315[[#This Row],[NIP]],nip_firm61416[],2,FALSE)</f>
        <v>MASPOL</v>
      </c>
    </row>
    <row r="151" spans="1:13" x14ac:dyDescent="0.25">
      <c r="A151" s="2" t="s">
        <v>402</v>
      </c>
      <c r="B151" s="3" t="s">
        <v>403</v>
      </c>
      <c r="C151" s="3" t="s">
        <v>404</v>
      </c>
      <c r="D151" s="4" t="s">
        <v>7</v>
      </c>
      <c r="F151">
        <v>3783578981</v>
      </c>
      <c r="G151" s="1" t="s">
        <v>405</v>
      </c>
      <c r="H151" s="1" t="s">
        <v>1231</v>
      </c>
      <c r="I151" s="1" t="s">
        <v>1081</v>
      </c>
      <c r="J151">
        <v>1869</v>
      </c>
      <c r="K151" s="1" t="str">
        <f>VLOOKUP(uslugi41315[[#This Row],[ozn]],$A$2:$D$410,2,FALSE)</f>
        <v>Lodz</v>
      </c>
      <c r="L151" s="1">
        <f>IF(uslugi41315[[#This Row],[powiat]]="Konin",1,0)</f>
        <v>0</v>
      </c>
      <c r="M151" s="1" t="str">
        <f>VLOOKUP(uslugi41315[[#This Row],[NIP]],nip_firm61416[],2,FALSE)</f>
        <v>LUBEX</v>
      </c>
    </row>
    <row r="152" spans="1:13" x14ac:dyDescent="0.25">
      <c r="A152" s="5" t="s">
        <v>405</v>
      </c>
      <c r="B152" s="6" t="s">
        <v>406</v>
      </c>
      <c r="C152" s="6" t="s">
        <v>406</v>
      </c>
      <c r="D152" s="7" t="s">
        <v>22</v>
      </c>
      <c r="F152">
        <v>3568004264</v>
      </c>
      <c r="G152" s="1" t="s">
        <v>428</v>
      </c>
      <c r="H152" s="1" t="s">
        <v>1232</v>
      </c>
      <c r="I152" s="1" t="s">
        <v>1087</v>
      </c>
      <c r="J152">
        <v>1804</v>
      </c>
      <c r="K152" s="1" t="str">
        <f>VLOOKUP(uslugi41315[[#This Row],[ozn]],$A$2:$D$410,2,FALSE)</f>
        <v>lubelski</v>
      </c>
      <c r="L152" s="1">
        <f>IF(uslugi41315[[#This Row],[powiat]]="Konin",1,0)</f>
        <v>0</v>
      </c>
      <c r="M152" s="1" t="str">
        <f>VLOOKUP(uslugi41315[[#This Row],[NIP]],nip_firm61416[],2,FALSE)</f>
        <v>MURATOR</v>
      </c>
    </row>
    <row r="153" spans="1:13" x14ac:dyDescent="0.25">
      <c r="A153" s="2" t="s">
        <v>407</v>
      </c>
      <c r="B153" s="3" t="s">
        <v>408</v>
      </c>
      <c r="C153" s="3" t="s">
        <v>406</v>
      </c>
      <c r="D153" s="4" t="s">
        <v>7</v>
      </c>
      <c r="F153">
        <v>6758177505</v>
      </c>
      <c r="G153" s="1" t="s">
        <v>862</v>
      </c>
      <c r="H153" s="1" t="s">
        <v>1233</v>
      </c>
      <c r="I153" s="1" t="s">
        <v>1081</v>
      </c>
      <c r="J153">
        <v>2990</v>
      </c>
      <c r="K153" s="1" t="str">
        <f>VLOOKUP(uslugi41315[[#This Row],[ozn]],$A$2:$D$410,2,FALSE)</f>
        <v>tarnobrzeski</v>
      </c>
      <c r="L153" s="1">
        <f>IF(uslugi41315[[#This Row],[powiat]]="Konin",1,0)</f>
        <v>0</v>
      </c>
      <c r="M153" s="1" t="str">
        <f>VLOOKUP(uslugi41315[[#This Row],[NIP]],nip_firm61416[],2,FALSE)</f>
        <v>WERTIX</v>
      </c>
    </row>
    <row r="154" spans="1:13" x14ac:dyDescent="0.25">
      <c r="A154" s="5" t="s">
        <v>409</v>
      </c>
      <c r="B154" s="6" t="s">
        <v>410</v>
      </c>
      <c r="C154" s="6" t="s">
        <v>410</v>
      </c>
      <c r="D154" s="7" t="s">
        <v>22</v>
      </c>
      <c r="F154">
        <v>5115061689</v>
      </c>
      <c r="G154" s="1" t="s">
        <v>702</v>
      </c>
      <c r="H154" s="1" t="s">
        <v>1234</v>
      </c>
      <c r="I154" s="1" t="s">
        <v>1081</v>
      </c>
      <c r="J154">
        <v>2840</v>
      </c>
      <c r="K154" s="1" t="str">
        <f>VLOOKUP(uslugi41315[[#This Row],[ozn]],$A$2:$D$410,2,FALSE)</f>
        <v>Ruda Slaska</v>
      </c>
      <c r="L154" s="1">
        <f>IF(uslugi41315[[#This Row],[powiat]]="Konin",1,0)</f>
        <v>0</v>
      </c>
      <c r="M154" s="1" t="str">
        <f>VLOOKUP(uslugi41315[[#This Row],[NIP]],nip_firm61416[],2,FALSE)</f>
        <v>BETON-STAL</v>
      </c>
    </row>
    <row r="155" spans="1:13" x14ac:dyDescent="0.25">
      <c r="A155" s="2" t="s">
        <v>411</v>
      </c>
      <c r="B155" s="3" t="s">
        <v>412</v>
      </c>
      <c r="C155" s="3" t="s">
        <v>410</v>
      </c>
      <c r="D155" s="4" t="s">
        <v>7</v>
      </c>
      <c r="F155">
        <v>5418968184</v>
      </c>
      <c r="G155" s="1" t="s">
        <v>248</v>
      </c>
      <c r="H155" s="1" t="s">
        <v>1235</v>
      </c>
      <c r="I155" s="1" t="s">
        <v>1087</v>
      </c>
      <c r="J155">
        <v>1929</v>
      </c>
      <c r="K155" s="1" t="str">
        <f>VLOOKUP(uslugi41315[[#This Row],[ozn]],$A$2:$D$410,2,FALSE)</f>
        <v>Jaworzno</v>
      </c>
      <c r="L155" s="1">
        <f>IF(uslugi41315[[#This Row],[powiat]]="Konin",1,0)</f>
        <v>0</v>
      </c>
      <c r="M155" s="1" t="str">
        <f>VLOOKUP(uslugi41315[[#This Row],[NIP]],nip_firm61416[],2,FALSE)</f>
        <v>SOSNEC</v>
      </c>
    </row>
    <row r="156" spans="1:13" x14ac:dyDescent="0.25">
      <c r="A156" s="5" t="s">
        <v>413</v>
      </c>
      <c r="B156" s="6" t="s">
        <v>414</v>
      </c>
      <c r="C156" s="6" t="s">
        <v>415</v>
      </c>
      <c r="D156" s="7" t="s">
        <v>7</v>
      </c>
      <c r="F156">
        <v>2581219876</v>
      </c>
      <c r="G156" s="1" t="s">
        <v>141</v>
      </c>
      <c r="H156" s="1" t="s">
        <v>1236</v>
      </c>
      <c r="I156" s="1" t="s">
        <v>1081</v>
      </c>
      <c r="J156">
        <v>2506</v>
      </c>
      <c r="K156" s="1" t="str">
        <f>VLOOKUP(uslugi41315[[#This Row],[ozn]],$A$2:$D$410,2,FALSE)</f>
        <v>elblaski</v>
      </c>
      <c r="L156" s="1">
        <f>IF(uslugi41315[[#This Row],[powiat]]="Konin",1,0)</f>
        <v>0</v>
      </c>
      <c r="M156" s="1" t="str">
        <f>VLOOKUP(uslugi41315[[#This Row],[NIP]],nip_firm61416[],2,FALSE)</f>
        <v>TECH-MASZ</v>
      </c>
    </row>
    <row r="157" spans="1:13" x14ac:dyDescent="0.25">
      <c r="A157" s="2" t="s">
        <v>416</v>
      </c>
      <c r="B157" s="3" t="s">
        <v>417</v>
      </c>
      <c r="C157" s="3" t="s">
        <v>418</v>
      </c>
      <c r="D157" s="4" t="s">
        <v>7</v>
      </c>
      <c r="F157">
        <v>1127056356</v>
      </c>
      <c r="G157" s="1" t="s">
        <v>317</v>
      </c>
      <c r="H157" s="1" t="s">
        <v>1237</v>
      </c>
      <c r="I157" s="1" t="s">
        <v>1087</v>
      </c>
      <c r="J157">
        <v>2924</v>
      </c>
      <c r="K157" s="1" t="str">
        <f>VLOOKUP(uslugi41315[[#This Row],[ozn]],$A$2:$D$410,2,FALSE)</f>
        <v>koscianski</v>
      </c>
      <c r="L157" s="1">
        <f>IF(uslugi41315[[#This Row],[powiat]]="Konin",1,0)</f>
        <v>0</v>
      </c>
      <c r="M157" s="1" t="str">
        <f>VLOOKUP(uslugi41315[[#This Row],[NIP]],nip_firm61416[],2,FALSE)</f>
        <v>KONSBET</v>
      </c>
    </row>
    <row r="158" spans="1:13" x14ac:dyDescent="0.25">
      <c r="A158" s="5" t="s">
        <v>419</v>
      </c>
      <c r="B158" s="6" t="s">
        <v>420</v>
      </c>
      <c r="C158" s="6" t="s">
        <v>421</v>
      </c>
      <c r="D158" s="7" t="s">
        <v>7</v>
      </c>
      <c r="F158">
        <v>5528435390</v>
      </c>
      <c r="G158" s="1" t="s">
        <v>248</v>
      </c>
      <c r="H158" s="1" t="s">
        <v>1238</v>
      </c>
      <c r="I158" s="1" t="s">
        <v>1081</v>
      </c>
      <c r="J158">
        <v>2283</v>
      </c>
      <c r="K158" s="1" t="str">
        <f>VLOOKUP(uslugi41315[[#This Row],[ozn]],$A$2:$D$410,2,FALSE)</f>
        <v>Jaworzno</v>
      </c>
      <c r="L158" s="1">
        <f>IF(uslugi41315[[#This Row],[powiat]]="Konin",1,0)</f>
        <v>0</v>
      </c>
      <c r="M158" s="1" t="str">
        <f>VLOOKUP(uslugi41315[[#This Row],[NIP]],nip_firm61416[],2,FALSE)</f>
        <v>ZABER</v>
      </c>
    </row>
    <row r="159" spans="1:13" x14ac:dyDescent="0.25">
      <c r="A159" s="2" t="s">
        <v>422</v>
      </c>
      <c r="B159" s="3" t="s">
        <v>423</v>
      </c>
      <c r="C159" s="3" t="s">
        <v>424</v>
      </c>
      <c r="D159" s="4" t="s">
        <v>7</v>
      </c>
      <c r="F159">
        <v>4241680809</v>
      </c>
      <c r="G159" s="1" t="s">
        <v>248</v>
      </c>
      <c r="H159" s="1" t="s">
        <v>1239</v>
      </c>
      <c r="I159" s="1" t="s">
        <v>1081</v>
      </c>
      <c r="J159">
        <v>2350</v>
      </c>
      <c r="K159" s="1" t="str">
        <f>VLOOKUP(uslugi41315[[#This Row],[ozn]],$A$2:$D$410,2,FALSE)</f>
        <v>Jaworzno</v>
      </c>
      <c r="L159" s="1">
        <f>IF(uslugi41315[[#This Row],[powiat]]="Konin",1,0)</f>
        <v>0</v>
      </c>
      <c r="M159" s="1" t="str">
        <f>VLOOKUP(uslugi41315[[#This Row],[NIP]],nip_firm61416[],2,FALSE)</f>
        <v>WROCBUD4</v>
      </c>
    </row>
    <row r="160" spans="1:13" x14ac:dyDescent="0.25">
      <c r="A160" s="5" t="s">
        <v>425</v>
      </c>
      <c r="B160" s="6" t="s">
        <v>426</v>
      </c>
      <c r="C160" s="6" t="s">
        <v>427</v>
      </c>
      <c r="D160" s="7" t="s">
        <v>7</v>
      </c>
      <c r="F160">
        <v>2245871126</v>
      </c>
      <c r="G160" s="1" t="s">
        <v>73</v>
      </c>
      <c r="H160" s="1" t="s">
        <v>1240</v>
      </c>
      <c r="I160" s="1" t="s">
        <v>1081</v>
      </c>
      <c r="J160">
        <v>2340</v>
      </c>
      <c r="K160" s="1" t="str">
        <f>VLOOKUP(uslugi41315[[#This Row],[ozn]],$A$2:$D$410,2,FALSE)</f>
        <v>buski</v>
      </c>
      <c r="L160" s="1">
        <f>IF(uslugi41315[[#This Row],[powiat]]="Konin",1,0)</f>
        <v>0</v>
      </c>
      <c r="M160" s="1" t="str">
        <f>VLOOKUP(uslugi41315[[#This Row],[NIP]],nip_firm61416[],2,FALSE)</f>
        <v>OLSZTYN</v>
      </c>
    </row>
    <row r="161" spans="1:13" x14ac:dyDescent="0.25">
      <c r="A161" s="2" t="s">
        <v>428</v>
      </c>
      <c r="B161" s="3" t="s">
        <v>429</v>
      </c>
      <c r="C161" s="3" t="s">
        <v>430</v>
      </c>
      <c r="D161" s="4" t="s">
        <v>7</v>
      </c>
      <c r="F161">
        <v>1620242236</v>
      </c>
      <c r="G161" s="1" t="s">
        <v>314</v>
      </c>
      <c r="H161" s="1" t="s">
        <v>1241</v>
      </c>
      <c r="I161" s="1" t="s">
        <v>1081</v>
      </c>
      <c r="J161">
        <v>2368</v>
      </c>
      <c r="K161" s="1" t="str">
        <f>VLOOKUP(uslugi41315[[#This Row],[ozn]],$A$2:$D$410,2,FALSE)</f>
        <v>Konin</v>
      </c>
      <c r="L161" s="1">
        <f>IF(uslugi41315[[#This Row],[powiat]]="Konin",1,0)</f>
        <v>1</v>
      </c>
      <c r="M161" s="1" t="str">
        <f>VLOOKUP(uslugi41315[[#This Row],[NIP]],nip_firm61416[],2,FALSE)</f>
        <v>WIET-IND</v>
      </c>
    </row>
    <row r="162" spans="1:13" x14ac:dyDescent="0.25">
      <c r="A162" s="5" t="s">
        <v>431</v>
      </c>
      <c r="B162" s="6" t="s">
        <v>432</v>
      </c>
      <c r="C162" s="6" t="s">
        <v>433</v>
      </c>
      <c r="D162" s="7" t="s">
        <v>7</v>
      </c>
      <c r="F162">
        <v>4796841112</v>
      </c>
      <c r="G162" s="1" t="s">
        <v>533</v>
      </c>
      <c r="H162" s="1" t="s">
        <v>1242</v>
      </c>
      <c r="I162" s="1" t="s">
        <v>1081</v>
      </c>
      <c r="J162">
        <v>3336</v>
      </c>
      <c r="K162" s="1" t="str">
        <f>VLOOKUP(uslugi41315[[#This Row],[ozn]],$A$2:$D$410,2,FALSE)</f>
        <v>olawski</v>
      </c>
      <c r="L162" s="1">
        <f>IF(uslugi41315[[#This Row],[powiat]]="Konin",1,0)</f>
        <v>0</v>
      </c>
      <c r="M162" s="1" t="str">
        <f>VLOOKUP(uslugi41315[[#This Row],[NIP]],nip_firm61416[],2,FALSE)</f>
        <v>WARM S. A.</v>
      </c>
    </row>
    <row r="163" spans="1:13" x14ac:dyDescent="0.25">
      <c r="A163" s="2" t="s">
        <v>434</v>
      </c>
      <c r="B163" s="3" t="s">
        <v>430</v>
      </c>
      <c r="C163" s="3" t="s">
        <v>430</v>
      </c>
      <c r="D163" s="4" t="s">
        <v>22</v>
      </c>
      <c r="F163">
        <v>3783578981</v>
      </c>
      <c r="G163" s="1" t="s">
        <v>405</v>
      </c>
      <c r="H163" s="1" t="s">
        <v>1243</v>
      </c>
      <c r="I163" s="1" t="s">
        <v>1081</v>
      </c>
      <c r="J163">
        <v>2510</v>
      </c>
      <c r="K163" s="1" t="str">
        <f>VLOOKUP(uslugi41315[[#This Row],[ozn]],$A$2:$D$410,2,FALSE)</f>
        <v>Lodz</v>
      </c>
      <c r="L163" s="1">
        <f>IF(uslugi41315[[#This Row],[powiat]]="Konin",1,0)</f>
        <v>0</v>
      </c>
      <c r="M163" s="1" t="str">
        <f>VLOOKUP(uslugi41315[[#This Row],[NIP]],nip_firm61416[],2,FALSE)</f>
        <v>LUBEX</v>
      </c>
    </row>
    <row r="164" spans="1:13" x14ac:dyDescent="0.25">
      <c r="A164" s="5" t="s">
        <v>435</v>
      </c>
      <c r="B164" s="6" t="s">
        <v>436</v>
      </c>
      <c r="C164" s="6" t="s">
        <v>437</v>
      </c>
      <c r="D164" s="7" t="s">
        <v>7</v>
      </c>
      <c r="F164">
        <v>5115061689</v>
      </c>
      <c r="G164" s="1" t="s">
        <v>704</v>
      </c>
      <c r="H164" s="1" t="s">
        <v>1244</v>
      </c>
      <c r="I164" s="1" t="s">
        <v>1081</v>
      </c>
      <c r="J164">
        <v>2358</v>
      </c>
      <c r="K164" s="1" t="str">
        <f>VLOOKUP(uslugi41315[[#This Row],[ozn]],$A$2:$D$410,2,FALSE)</f>
        <v>Ruda Slaska</v>
      </c>
      <c r="L164" s="1">
        <f>IF(uslugi41315[[#This Row],[powiat]]="Konin",1,0)</f>
        <v>0</v>
      </c>
      <c r="M164" s="1" t="str">
        <f>VLOOKUP(uslugi41315[[#This Row],[NIP]],nip_firm61416[],2,FALSE)</f>
        <v>BETON-STAL</v>
      </c>
    </row>
    <row r="165" spans="1:13" x14ac:dyDescent="0.25">
      <c r="A165" s="2" t="s">
        <v>438</v>
      </c>
      <c r="B165" s="3" t="s">
        <v>439</v>
      </c>
      <c r="C165" s="3" t="s">
        <v>440</v>
      </c>
      <c r="D165" s="4" t="s">
        <v>7</v>
      </c>
      <c r="F165">
        <v>6758177505</v>
      </c>
      <c r="G165" s="1" t="s">
        <v>562</v>
      </c>
      <c r="H165" s="1" t="s">
        <v>1245</v>
      </c>
      <c r="I165" s="1" t="s">
        <v>1081</v>
      </c>
      <c r="J165">
        <v>3104</v>
      </c>
      <c r="K165" s="1" t="str">
        <f>VLOOKUP(uslugi41315[[#This Row],[ozn]],$A$2:$D$410,2,FALSE)</f>
        <v>opolski</v>
      </c>
      <c r="L165" s="1">
        <f>IF(uslugi41315[[#This Row],[powiat]]="Konin",1,0)</f>
        <v>0</v>
      </c>
      <c r="M165" s="1" t="str">
        <f>VLOOKUP(uslugi41315[[#This Row],[NIP]],nip_firm61416[],2,FALSE)</f>
        <v>WERTIX</v>
      </c>
    </row>
    <row r="166" spans="1:13" x14ac:dyDescent="0.25">
      <c r="A166" s="5" t="s">
        <v>441</v>
      </c>
      <c r="B166" s="6" t="s">
        <v>442</v>
      </c>
      <c r="C166" s="6" t="s">
        <v>443</v>
      </c>
      <c r="D166" s="7" t="s">
        <v>7</v>
      </c>
      <c r="F166">
        <v>2138598159</v>
      </c>
      <c r="G166" s="1" t="s">
        <v>143</v>
      </c>
      <c r="H166" s="1" t="s">
        <v>1246</v>
      </c>
      <c r="I166" s="1" t="s">
        <v>1081</v>
      </c>
      <c r="J166">
        <v>2391</v>
      </c>
      <c r="K166" s="1" t="str">
        <f>VLOOKUP(uslugi41315[[#This Row],[ozn]],$A$2:$D$410,2,FALSE)</f>
        <v>elcki</v>
      </c>
      <c r="L166" s="1">
        <f>IF(uslugi41315[[#This Row],[powiat]]="Konin",1,0)</f>
        <v>0</v>
      </c>
      <c r="M166" s="1" t="str">
        <f>VLOOKUP(uslugi41315[[#This Row],[NIP]],nip_firm61416[],2,FALSE)</f>
        <v>METALL</v>
      </c>
    </row>
    <row r="167" spans="1:13" x14ac:dyDescent="0.25">
      <c r="A167" s="2" t="s">
        <v>444</v>
      </c>
      <c r="B167" s="3" t="s">
        <v>445</v>
      </c>
      <c r="C167" s="3" t="s">
        <v>446</v>
      </c>
      <c r="D167" s="4" t="s">
        <v>7</v>
      </c>
      <c r="F167">
        <v>1524870307</v>
      </c>
      <c r="G167" s="1" t="s">
        <v>248</v>
      </c>
      <c r="H167" s="1" t="s">
        <v>1247</v>
      </c>
      <c r="I167" s="1" t="s">
        <v>1081</v>
      </c>
      <c r="J167">
        <v>2790</v>
      </c>
      <c r="K167" s="1" t="str">
        <f>VLOOKUP(uslugi41315[[#This Row],[ozn]],$A$2:$D$410,2,FALSE)</f>
        <v>Jaworzno</v>
      </c>
      <c r="L167" s="1">
        <f>IF(uslugi41315[[#This Row],[powiat]]="Konin",1,0)</f>
        <v>0</v>
      </c>
      <c r="M167" s="1" t="str">
        <f>VLOOKUP(uslugi41315[[#This Row],[NIP]],nip_firm61416[],2,FALSE)</f>
        <v>NOTOM</v>
      </c>
    </row>
    <row r="168" spans="1:13" x14ac:dyDescent="0.25">
      <c r="A168" s="5" t="s">
        <v>447</v>
      </c>
      <c r="B168" s="6" t="s">
        <v>448</v>
      </c>
      <c r="C168" s="6" t="s">
        <v>449</v>
      </c>
      <c r="D168" s="7" t="s">
        <v>7</v>
      </c>
      <c r="F168">
        <v>4796841112</v>
      </c>
      <c r="G168" s="1" t="s">
        <v>533</v>
      </c>
      <c r="H168" s="1" t="s">
        <v>1248</v>
      </c>
      <c r="I168" s="1" t="s">
        <v>1081</v>
      </c>
      <c r="J168">
        <v>1796</v>
      </c>
      <c r="K168" s="1" t="str">
        <f>VLOOKUP(uslugi41315[[#This Row],[ozn]],$A$2:$D$410,2,FALSE)</f>
        <v>olawski</v>
      </c>
      <c r="L168" s="1">
        <f>IF(uslugi41315[[#This Row],[powiat]]="Konin",1,0)</f>
        <v>0</v>
      </c>
      <c r="M168" s="1" t="str">
        <f>VLOOKUP(uslugi41315[[#This Row],[NIP]],nip_firm61416[],2,FALSE)</f>
        <v>WARM S. A.</v>
      </c>
    </row>
    <row r="169" spans="1:13" x14ac:dyDescent="0.25">
      <c r="A169" s="2" t="s">
        <v>450</v>
      </c>
      <c r="B169" s="3" t="s">
        <v>451</v>
      </c>
      <c r="C169" s="3" t="s">
        <v>452</v>
      </c>
      <c r="D169" s="4" t="s">
        <v>7</v>
      </c>
      <c r="F169">
        <v>3470453173</v>
      </c>
      <c r="G169" s="1" t="s">
        <v>85</v>
      </c>
      <c r="H169" s="1" t="s">
        <v>1249</v>
      </c>
      <c r="I169" s="1" t="s">
        <v>1081</v>
      </c>
      <c r="J169">
        <v>1790</v>
      </c>
      <c r="K169" s="1" t="str">
        <f>VLOOKUP(uslugi41315[[#This Row],[ozn]],$A$2:$D$410,2,FALSE)</f>
        <v>Chelm</v>
      </c>
      <c r="L169" s="1">
        <f>IF(uslugi41315[[#This Row],[powiat]]="Konin",1,0)</f>
        <v>0</v>
      </c>
      <c r="M169" s="1" t="str">
        <f>VLOOKUP(uslugi41315[[#This Row],[NIP]],nip_firm61416[],2,FALSE)</f>
        <v>MASPOL</v>
      </c>
    </row>
    <row r="170" spans="1:13" x14ac:dyDescent="0.25">
      <c r="A170" s="5" t="s">
        <v>453</v>
      </c>
      <c r="B170" s="6" t="s">
        <v>454</v>
      </c>
      <c r="C170" s="6" t="s">
        <v>455</v>
      </c>
      <c r="D170" s="7" t="s">
        <v>7</v>
      </c>
      <c r="F170">
        <v>4761158900</v>
      </c>
      <c r="G170" s="1" t="s">
        <v>294</v>
      </c>
      <c r="H170" s="1" t="s">
        <v>1250</v>
      </c>
      <c r="I170" s="1" t="s">
        <v>1087</v>
      </c>
      <c r="J170">
        <v>2460</v>
      </c>
      <c r="K170" s="1" t="str">
        <f>VLOOKUP(uslugi41315[[#This Row],[ozn]],$A$2:$D$410,2,FALSE)</f>
        <v>kluczborski</v>
      </c>
      <c r="L170" s="1">
        <f>IF(uslugi41315[[#This Row],[powiat]]="Konin",1,0)</f>
        <v>0</v>
      </c>
      <c r="M170" s="1" t="str">
        <f>VLOOKUP(uslugi41315[[#This Row],[NIP]],nip_firm61416[],2,FALSE)</f>
        <v>WROCBUD3</v>
      </c>
    </row>
    <row r="171" spans="1:13" x14ac:dyDescent="0.25">
      <c r="A171" s="2" t="s">
        <v>456</v>
      </c>
      <c r="B171" s="3" t="s">
        <v>457</v>
      </c>
      <c r="C171" s="3" t="s">
        <v>458</v>
      </c>
      <c r="D171" s="4" t="s">
        <v>7</v>
      </c>
      <c r="F171">
        <v>3866883575</v>
      </c>
      <c r="G171" s="1" t="s">
        <v>434</v>
      </c>
      <c r="H171" s="1" t="s">
        <v>1251</v>
      </c>
      <c r="I171" s="1" t="s">
        <v>1081</v>
      </c>
      <c r="J171">
        <v>3300</v>
      </c>
      <c r="K171" s="1" t="str">
        <f>VLOOKUP(uslugi41315[[#This Row],[ozn]],$A$2:$D$410,2,FALSE)</f>
        <v>Lublin</v>
      </c>
      <c r="L171" s="1">
        <f>IF(uslugi41315[[#This Row],[powiat]]="Konin",1,0)</f>
        <v>0</v>
      </c>
      <c r="M171" s="1" t="str">
        <f>VLOOKUP(uslugi41315[[#This Row],[NIP]],nip_firm61416[],2,FALSE)</f>
        <v>KPICO</v>
      </c>
    </row>
    <row r="172" spans="1:13" x14ac:dyDescent="0.25">
      <c r="A172" s="5" t="s">
        <v>459</v>
      </c>
      <c r="B172" s="6" t="s">
        <v>460</v>
      </c>
      <c r="C172" s="6" t="s">
        <v>461</v>
      </c>
      <c r="D172" s="7" t="s">
        <v>7</v>
      </c>
      <c r="F172">
        <v>4326751508</v>
      </c>
      <c r="G172" s="1" t="s">
        <v>405</v>
      </c>
      <c r="H172" s="1" t="s">
        <v>1252</v>
      </c>
      <c r="I172" s="1" t="s">
        <v>1081</v>
      </c>
      <c r="J172">
        <v>2365</v>
      </c>
      <c r="K172" s="1" t="str">
        <f>VLOOKUP(uslugi41315[[#This Row],[ozn]],$A$2:$D$410,2,FALSE)</f>
        <v>Lodz</v>
      </c>
      <c r="L172" s="1">
        <f>IF(uslugi41315[[#This Row],[powiat]]="Konin",1,0)</f>
        <v>0</v>
      </c>
      <c r="M172" s="1" t="str">
        <f>VLOOKUP(uslugi41315[[#This Row],[NIP]],nip_firm61416[],2,FALSE)</f>
        <v>WROCBUD2</v>
      </c>
    </row>
    <row r="173" spans="1:13" x14ac:dyDescent="0.25">
      <c r="A173" s="2" t="s">
        <v>462</v>
      </c>
      <c r="B173" s="3" t="s">
        <v>463</v>
      </c>
      <c r="C173" s="3" t="s">
        <v>464</v>
      </c>
      <c r="D173" s="4" t="s">
        <v>7</v>
      </c>
      <c r="F173">
        <v>1278408463</v>
      </c>
      <c r="G173" s="1" t="s">
        <v>312</v>
      </c>
      <c r="H173" s="1" t="s">
        <v>1253</v>
      </c>
      <c r="I173" s="1" t="s">
        <v>1087</v>
      </c>
      <c r="J173">
        <v>3270</v>
      </c>
      <c r="K173" s="1" t="str">
        <f>VLOOKUP(uslugi41315[[#This Row],[ozn]],$A$2:$D$410,2,FALSE)</f>
        <v>Konin</v>
      </c>
      <c r="L173" s="1">
        <f>IF(uslugi41315[[#This Row],[powiat]]="Konin",1,0)</f>
        <v>1</v>
      </c>
      <c r="M173" s="1" t="str">
        <f>VLOOKUP(uslugi41315[[#This Row],[NIP]],nip_firm61416[],2,FALSE)</f>
        <v>REFAMUR</v>
      </c>
    </row>
    <row r="174" spans="1:13" x14ac:dyDescent="0.25">
      <c r="A174" s="5" t="s">
        <v>465</v>
      </c>
      <c r="B174" s="6" t="s">
        <v>466</v>
      </c>
      <c r="C174" s="6" t="s">
        <v>467</v>
      </c>
      <c r="D174" s="7" t="s">
        <v>7</v>
      </c>
      <c r="F174">
        <v>4326751508</v>
      </c>
      <c r="G174" s="1" t="s">
        <v>405</v>
      </c>
      <c r="H174" s="1" t="s">
        <v>1254</v>
      </c>
      <c r="I174" s="1" t="s">
        <v>1081</v>
      </c>
      <c r="J174">
        <v>1835</v>
      </c>
      <c r="K174" s="1" t="str">
        <f>VLOOKUP(uslugi41315[[#This Row],[ozn]],$A$2:$D$410,2,FALSE)</f>
        <v>Lodz</v>
      </c>
      <c r="L174" s="1">
        <f>IF(uslugi41315[[#This Row],[powiat]]="Konin",1,0)</f>
        <v>0</v>
      </c>
      <c r="M174" s="1" t="str">
        <f>VLOOKUP(uslugi41315[[#This Row],[NIP]],nip_firm61416[],2,FALSE)</f>
        <v>WROCBUD2</v>
      </c>
    </row>
    <row r="175" spans="1:13" x14ac:dyDescent="0.25">
      <c r="A175" s="2" t="s">
        <v>468</v>
      </c>
      <c r="B175" s="3" t="s">
        <v>469</v>
      </c>
      <c r="C175" s="3" t="s">
        <v>470</v>
      </c>
      <c r="D175" s="4" t="s">
        <v>7</v>
      </c>
      <c r="F175">
        <v>1581329071</v>
      </c>
      <c r="G175" s="1" t="s">
        <v>248</v>
      </c>
      <c r="H175" s="1" t="s">
        <v>1255</v>
      </c>
      <c r="I175" s="1" t="s">
        <v>1087</v>
      </c>
      <c r="J175">
        <v>2320</v>
      </c>
      <c r="K175" s="1" t="str">
        <f>VLOOKUP(uslugi41315[[#This Row],[ozn]],$A$2:$D$410,2,FALSE)</f>
        <v>Jaworzno</v>
      </c>
      <c r="L175" s="1">
        <f>IF(uslugi41315[[#This Row],[powiat]]="Konin",1,0)</f>
        <v>0</v>
      </c>
      <c r="M175" s="1" t="str">
        <f>VLOOKUP(uslugi41315[[#This Row],[NIP]],nip_firm61416[],2,FALSE)</f>
        <v>WRZESNIA1</v>
      </c>
    </row>
    <row r="176" spans="1:13" x14ac:dyDescent="0.25">
      <c r="A176" s="5" t="s">
        <v>471</v>
      </c>
      <c r="B176" s="6" t="s">
        <v>472</v>
      </c>
      <c r="C176" s="6" t="s">
        <v>473</v>
      </c>
      <c r="D176" s="7" t="s">
        <v>7</v>
      </c>
      <c r="F176">
        <v>1620242236</v>
      </c>
      <c r="G176" s="1" t="s">
        <v>314</v>
      </c>
      <c r="H176" s="1" t="s">
        <v>1256</v>
      </c>
      <c r="I176" s="1" t="s">
        <v>1081</v>
      </c>
      <c r="J176">
        <v>2067</v>
      </c>
      <c r="K176" s="1" t="str">
        <f>VLOOKUP(uslugi41315[[#This Row],[ozn]],$A$2:$D$410,2,FALSE)</f>
        <v>Konin</v>
      </c>
      <c r="L176" s="1">
        <f>IF(uslugi41315[[#This Row],[powiat]]="Konin",1,0)</f>
        <v>1</v>
      </c>
      <c r="M176" s="1" t="str">
        <f>VLOOKUP(uslugi41315[[#This Row],[NIP]],nip_firm61416[],2,FALSE)</f>
        <v>WIET-IND</v>
      </c>
    </row>
    <row r="177" spans="1:13" x14ac:dyDescent="0.25">
      <c r="A177" s="2" t="s">
        <v>474</v>
      </c>
      <c r="B177" s="3" t="s">
        <v>475</v>
      </c>
      <c r="C177" s="3" t="s">
        <v>476</v>
      </c>
      <c r="D177" s="4" t="s">
        <v>7</v>
      </c>
      <c r="F177">
        <v>2214740049</v>
      </c>
      <c r="G177" s="1" t="s">
        <v>56</v>
      </c>
      <c r="H177" s="1" t="s">
        <v>1257</v>
      </c>
      <c r="I177" s="1" t="s">
        <v>1081</v>
      </c>
      <c r="J177">
        <v>2366</v>
      </c>
      <c r="K177" s="1" t="str">
        <f>VLOOKUP(uslugi41315[[#This Row],[ozn]],$A$2:$D$410,2,FALSE)</f>
        <v>braniewski</v>
      </c>
      <c r="L177" s="1">
        <f>IF(uslugi41315[[#This Row],[powiat]]="Konin",1,0)</f>
        <v>0</v>
      </c>
      <c r="M177" s="1" t="str">
        <f>VLOOKUP(uslugi41315[[#This Row],[NIP]],nip_firm61416[],2,FALSE)</f>
        <v>SZPULTEX</v>
      </c>
    </row>
    <row r="178" spans="1:13" x14ac:dyDescent="0.25">
      <c r="A178" s="5" t="s">
        <v>477</v>
      </c>
      <c r="B178" s="6" t="s">
        <v>478</v>
      </c>
      <c r="C178" s="6" t="s">
        <v>479</v>
      </c>
      <c r="D178" s="7" t="s">
        <v>7</v>
      </c>
      <c r="F178">
        <v>1433397952</v>
      </c>
      <c r="G178" s="1" t="s">
        <v>314</v>
      </c>
      <c r="H178" s="1" t="s">
        <v>1258</v>
      </c>
      <c r="I178" s="1" t="s">
        <v>1081</v>
      </c>
      <c r="J178">
        <v>1990</v>
      </c>
      <c r="K178" s="1" t="str">
        <f>VLOOKUP(uslugi41315[[#This Row],[ozn]],$A$2:$D$410,2,FALSE)</f>
        <v>Konin</v>
      </c>
      <c r="L178" s="1">
        <f>IF(uslugi41315[[#This Row],[powiat]]="Konin",1,0)</f>
        <v>1</v>
      </c>
      <c r="M178" s="1" t="str">
        <f>VLOOKUP(uslugi41315[[#This Row],[NIP]],nip_firm61416[],2,FALSE)</f>
        <v>BARTEX</v>
      </c>
    </row>
    <row r="179" spans="1:13" x14ac:dyDescent="0.25">
      <c r="A179" s="2" t="s">
        <v>480</v>
      </c>
      <c r="B179" s="3" t="s">
        <v>481</v>
      </c>
      <c r="C179" s="3" t="s">
        <v>482</v>
      </c>
      <c r="D179" s="4" t="s">
        <v>7</v>
      </c>
      <c r="F179">
        <v>2581219876</v>
      </c>
      <c r="G179" s="1" t="s">
        <v>141</v>
      </c>
      <c r="H179" s="1" t="s">
        <v>1259</v>
      </c>
      <c r="I179" s="1" t="s">
        <v>1087</v>
      </c>
      <c r="J179">
        <v>2120</v>
      </c>
      <c r="K179" s="1" t="str">
        <f>VLOOKUP(uslugi41315[[#This Row],[ozn]],$A$2:$D$410,2,FALSE)</f>
        <v>elblaski</v>
      </c>
      <c r="L179" s="1">
        <f>IF(uslugi41315[[#This Row],[powiat]]="Konin",1,0)</f>
        <v>0</v>
      </c>
      <c r="M179" s="1" t="str">
        <f>VLOOKUP(uslugi41315[[#This Row],[NIP]],nip_firm61416[],2,FALSE)</f>
        <v>TECH-MASZ</v>
      </c>
    </row>
    <row r="180" spans="1:13" x14ac:dyDescent="0.25">
      <c r="A180" s="5" t="s">
        <v>483</v>
      </c>
      <c r="B180" s="6" t="s">
        <v>484</v>
      </c>
      <c r="C180" s="6" t="s">
        <v>485</v>
      </c>
      <c r="D180" s="7" t="s">
        <v>7</v>
      </c>
      <c r="F180">
        <v>3470453173</v>
      </c>
      <c r="G180" s="1" t="s">
        <v>85</v>
      </c>
      <c r="H180" s="1" t="s">
        <v>1260</v>
      </c>
      <c r="I180" s="1" t="s">
        <v>1087</v>
      </c>
      <c r="J180">
        <v>1620</v>
      </c>
      <c r="K180" s="1" t="str">
        <f>VLOOKUP(uslugi41315[[#This Row],[ozn]],$A$2:$D$410,2,FALSE)</f>
        <v>Chelm</v>
      </c>
      <c r="L180" s="1">
        <f>IF(uslugi41315[[#This Row],[powiat]]="Konin",1,0)</f>
        <v>0</v>
      </c>
      <c r="M180" s="1" t="str">
        <f>VLOOKUP(uslugi41315[[#This Row],[NIP]],nip_firm61416[],2,FALSE)</f>
        <v>MASPOL</v>
      </c>
    </row>
    <row r="181" spans="1:13" x14ac:dyDescent="0.25">
      <c r="A181" s="2" t="s">
        <v>486</v>
      </c>
      <c r="B181" s="3" t="s">
        <v>487</v>
      </c>
      <c r="C181" s="3" t="s">
        <v>488</v>
      </c>
      <c r="D181" s="4" t="s">
        <v>7</v>
      </c>
      <c r="F181">
        <v>4761158900</v>
      </c>
      <c r="G181" s="1" t="s">
        <v>294</v>
      </c>
      <c r="H181" s="1" t="s">
        <v>1261</v>
      </c>
      <c r="I181" s="1" t="s">
        <v>1081</v>
      </c>
      <c r="J181">
        <v>2080</v>
      </c>
      <c r="K181" s="1" t="str">
        <f>VLOOKUP(uslugi41315[[#This Row],[ozn]],$A$2:$D$410,2,FALSE)</f>
        <v>kluczborski</v>
      </c>
      <c r="L181" s="1">
        <f>IF(uslugi41315[[#This Row],[powiat]]="Konin",1,0)</f>
        <v>0</v>
      </c>
      <c r="M181" s="1" t="str">
        <f>VLOOKUP(uslugi41315[[#This Row],[NIP]],nip_firm61416[],2,FALSE)</f>
        <v>WROCBUD3</v>
      </c>
    </row>
    <row r="182" spans="1:13" x14ac:dyDescent="0.25">
      <c r="A182" s="5" t="s">
        <v>489</v>
      </c>
      <c r="B182" s="6" t="s">
        <v>490</v>
      </c>
      <c r="C182" s="6" t="s">
        <v>490</v>
      </c>
      <c r="D182" s="7" t="s">
        <v>22</v>
      </c>
      <c r="F182">
        <v>1820566794</v>
      </c>
      <c r="G182" s="1" t="s">
        <v>604</v>
      </c>
      <c r="H182" s="1" t="s">
        <v>1262</v>
      </c>
      <c r="I182" s="1" t="s">
        <v>1087</v>
      </c>
      <c r="J182">
        <v>2658</v>
      </c>
      <c r="K182" s="1" t="str">
        <f>VLOOKUP(uslugi41315[[#This Row],[ozn]],$A$2:$D$410,2,FALSE)</f>
        <v>pilski</v>
      </c>
      <c r="L182" s="1">
        <f>IF(uslugi41315[[#This Row],[powiat]]="Konin",1,0)</f>
        <v>0</v>
      </c>
      <c r="M182" s="1" t="str">
        <f>VLOOKUP(uslugi41315[[#This Row],[NIP]],nip_firm61416[],2,FALSE)</f>
        <v>WRZESNIA2</v>
      </c>
    </row>
    <row r="183" spans="1:13" x14ac:dyDescent="0.25">
      <c r="A183" s="2" t="s">
        <v>491</v>
      </c>
      <c r="B183" s="3" t="s">
        <v>492</v>
      </c>
      <c r="C183" s="3" t="s">
        <v>493</v>
      </c>
      <c r="D183" s="4" t="s">
        <v>7</v>
      </c>
      <c r="F183">
        <v>4761158900</v>
      </c>
      <c r="G183" s="1" t="s">
        <v>294</v>
      </c>
      <c r="H183" s="1" t="s">
        <v>1263</v>
      </c>
      <c r="I183" s="1" t="s">
        <v>1087</v>
      </c>
      <c r="J183">
        <v>2582</v>
      </c>
      <c r="K183" s="1" t="str">
        <f>VLOOKUP(uslugi41315[[#This Row],[ozn]],$A$2:$D$410,2,FALSE)</f>
        <v>kluczborski</v>
      </c>
      <c r="L183" s="1">
        <f>IF(uslugi41315[[#This Row],[powiat]]="Konin",1,0)</f>
        <v>0</v>
      </c>
      <c r="M183" s="1" t="str">
        <f>VLOOKUP(uslugi41315[[#This Row],[NIP]],nip_firm61416[],2,FALSE)</f>
        <v>WROCBUD3</v>
      </c>
    </row>
    <row r="184" spans="1:13" x14ac:dyDescent="0.25">
      <c r="A184" s="5" t="s">
        <v>494</v>
      </c>
      <c r="B184" s="6" t="s">
        <v>495</v>
      </c>
      <c r="C184" s="6" t="s">
        <v>496</v>
      </c>
      <c r="D184" s="7" t="s">
        <v>7</v>
      </c>
      <c r="F184">
        <v>1278408463</v>
      </c>
      <c r="G184" s="1" t="s">
        <v>312</v>
      </c>
      <c r="H184" s="1" t="s">
        <v>1264</v>
      </c>
      <c r="I184" s="1" t="s">
        <v>1087</v>
      </c>
      <c r="J184">
        <v>2852</v>
      </c>
      <c r="K184" s="1" t="str">
        <f>VLOOKUP(uslugi41315[[#This Row],[ozn]],$A$2:$D$410,2,FALSE)</f>
        <v>Konin</v>
      </c>
      <c r="L184" s="1">
        <f>IF(uslugi41315[[#This Row],[powiat]]="Konin",1,0)</f>
        <v>1</v>
      </c>
      <c r="M184" s="1" t="str">
        <f>VLOOKUP(uslugi41315[[#This Row],[NIP]],nip_firm61416[],2,FALSE)</f>
        <v>REFAMUR</v>
      </c>
    </row>
    <row r="185" spans="1:13" x14ac:dyDescent="0.25">
      <c r="A185" s="2" t="s">
        <v>497</v>
      </c>
      <c r="B185" s="3" t="s">
        <v>498</v>
      </c>
      <c r="C185" s="3" t="s">
        <v>499</v>
      </c>
      <c r="D185" s="4" t="s">
        <v>7</v>
      </c>
      <c r="F185">
        <v>5229945534</v>
      </c>
      <c r="G185" s="1" t="s">
        <v>248</v>
      </c>
      <c r="H185" s="1" t="s">
        <v>1265</v>
      </c>
      <c r="I185" s="1" t="s">
        <v>1081</v>
      </c>
      <c r="J185">
        <v>1968</v>
      </c>
      <c r="K185" s="1" t="str">
        <f>VLOOKUP(uslugi41315[[#This Row],[ozn]],$A$2:$D$410,2,FALSE)</f>
        <v>Jaworzno</v>
      </c>
      <c r="L185" s="1">
        <f>IF(uslugi41315[[#This Row],[powiat]]="Konin",1,0)</f>
        <v>0</v>
      </c>
      <c r="M185" s="1" t="str">
        <f>VLOOKUP(uslugi41315[[#This Row],[NIP]],nip_firm61416[],2,FALSE)</f>
        <v>TARNOR</v>
      </c>
    </row>
    <row r="186" spans="1:13" x14ac:dyDescent="0.25">
      <c r="A186" s="5" t="s">
        <v>500</v>
      </c>
      <c r="B186" s="6" t="s">
        <v>501</v>
      </c>
      <c r="C186" s="6" t="s">
        <v>502</v>
      </c>
      <c r="D186" s="7" t="s">
        <v>7</v>
      </c>
      <c r="F186">
        <v>3783578981</v>
      </c>
      <c r="G186" s="1" t="s">
        <v>405</v>
      </c>
      <c r="H186" s="1" t="s">
        <v>1266</v>
      </c>
      <c r="I186" s="1" t="s">
        <v>1081</v>
      </c>
      <c r="J186">
        <v>3160</v>
      </c>
      <c r="K186" s="1" t="str">
        <f>VLOOKUP(uslugi41315[[#This Row],[ozn]],$A$2:$D$410,2,FALSE)</f>
        <v>Lodz</v>
      </c>
      <c r="L186" s="1">
        <f>IF(uslugi41315[[#This Row],[powiat]]="Konin",1,0)</f>
        <v>0</v>
      </c>
      <c r="M186" s="1" t="str">
        <f>VLOOKUP(uslugi41315[[#This Row],[NIP]],nip_firm61416[],2,FALSE)</f>
        <v>LUBEX</v>
      </c>
    </row>
    <row r="187" spans="1:13" x14ac:dyDescent="0.25">
      <c r="A187" s="2" t="s">
        <v>503</v>
      </c>
      <c r="B187" s="3" t="s">
        <v>504</v>
      </c>
      <c r="C187" s="3" t="s">
        <v>505</v>
      </c>
      <c r="D187" s="4" t="s">
        <v>7</v>
      </c>
      <c r="F187">
        <v>4458233905</v>
      </c>
      <c r="G187" s="1" t="s">
        <v>1003</v>
      </c>
      <c r="H187" s="1" t="s">
        <v>1267</v>
      </c>
      <c r="I187" s="1" t="s">
        <v>1087</v>
      </c>
      <c r="J187">
        <v>2022</v>
      </c>
      <c r="K187" s="1" t="str">
        <f>VLOOKUP(uslugi41315[[#This Row],[ozn]],$A$2:$D$410,2,FALSE)</f>
        <v>Wroclaw</v>
      </c>
      <c r="L187" s="1">
        <f>IF(uslugi41315[[#This Row],[powiat]]="Konin",1,0)</f>
        <v>0</v>
      </c>
      <c r="M187" s="1" t="str">
        <f>VLOOKUP(uslugi41315[[#This Row],[NIP]],nip_firm61416[],2,FALSE)</f>
        <v>WROCBUD1</v>
      </c>
    </row>
    <row r="188" spans="1:13" x14ac:dyDescent="0.25">
      <c r="A188" s="5" t="s">
        <v>506</v>
      </c>
      <c r="B188" s="6" t="s">
        <v>507</v>
      </c>
      <c r="C188" s="6" t="s">
        <v>508</v>
      </c>
      <c r="D188" s="7" t="s">
        <v>7</v>
      </c>
      <c r="F188">
        <v>1871447797</v>
      </c>
      <c r="G188" s="1" t="s">
        <v>248</v>
      </c>
      <c r="H188" s="1" t="s">
        <v>1268</v>
      </c>
      <c r="I188" s="1" t="s">
        <v>1081</v>
      </c>
      <c r="J188">
        <v>2350</v>
      </c>
      <c r="K188" s="1" t="str">
        <f>VLOOKUP(uslugi41315[[#This Row],[ozn]],$A$2:$D$410,2,FALSE)</f>
        <v>Jaworzno</v>
      </c>
      <c r="L188" s="1">
        <f>IF(uslugi41315[[#This Row],[powiat]]="Konin",1,0)</f>
        <v>0</v>
      </c>
      <c r="M188" s="1" t="str">
        <f>VLOOKUP(uslugi41315[[#This Row],[NIP]],nip_firm61416[],2,FALSE)</f>
        <v>OBOR</v>
      </c>
    </row>
    <row r="189" spans="1:13" x14ac:dyDescent="0.25">
      <c r="A189" s="2" t="s">
        <v>509</v>
      </c>
      <c r="B189" s="3" t="s">
        <v>507</v>
      </c>
      <c r="C189" s="3" t="s">
        <v>510</v>
      </c>
      <c r="D189" s="4" t="s">
        <v>7</v>
      </c>
      <c r="F189">
        <v>4761158900</v>
      </c>
      <c r="G189" s="1" t="s">
        <v>294</v>
      </c>
      <c r="H189" s="1" t="s">
        <v>1269</v>
      </c>
      <c r="I189" s="1" t="s">
        <v>1087</v>
      </c>
      <c r="J189">
        <v>2468</v>
      </c>
      <c r="K189" s="1" t="str">
        <f>VLOOKUP(uslugi41315[[#This Row],[ozn]],$A$2:$D$410,2,FALSE)</f>
        <v>kluczborski</v>
      </c>
      <c r="L189" s="1">
        <f>IF(uslugi41315[[#This Row],[powiat]]="Konin",1,0)</f>
        <v>0</v>
      </c>
      <c r="M189" s="1" t="str">
        <f>VLOOKUP(uslugi41315[[#This Row],[NIP]],nip_firm61416[],2,FALSE)</f>
        <v>WROCBUD3</v>
      </c>
    </row>
    <row r="190" spans="1:13" x14ac:dyDescent="0.25">
      <c r="A190" s="5" t="s">
        <v>511</v>
      </c>
      <c r="B190" s="6" t="s">
        <v>512</v>
      </c>
      <c r="C190" s="6" t="s">
        <v>513</v>
      </c>
      <c r="D190" s="7" t="s">
        <v>7</v>
      </c>
      <c r="F190">
        <v>2581219876</v>
      </c>
      <c r="G190" s="1" t="s">
        <v>141</v>
      </c>
      <c r="H190" s="1" t="s">
        <v>1270</v>
      </c>
      <c r="I190" s="1" t="s">
        <v>1081</v>
      </c>
      <c r="J190">
        <v>2610</v>
      </c>
      <c r="K190" s="1" t="str">
        <f>VLOOKUP(uslugi41315[[#This Row],[ozn]],$A$2:$D$410,2,FALSE)</f>
        <v>elblaski</v>
      </c>
      <c r="L190" s="1">
        <f>IF(uslugi41315[[#This Row],[powiat]]="Konin",1,0)</f>
        <v>0</v>
      </c>
      <c r="M190" s="1" t="str">
        <f>VLOOKUP(uslugi41315[[#This Row],[NIP]],nip_firm61416[],2,FALSE)</f>
        <v>TECH-MASZ</v>
      </c>
    </row>
    <row r="191" spans="1:13" x14ac:dyDescent="0.25">
      <c r="A191" s="2" t="s">
        <v>514</v>
      </c>
      <c r="B191" s="3" t="s">
        <v>515</v>
      </c>
      <c r="C191" s="3" t="s">
        <v>516</v>
      </c>
      <c r="D191" s="4" t="s">
        <v>7</v>
      </c>
      <c r="F191">
        <v>4580185570</v>
      </c>
      <c r="G191" s="1" t="s">
        <v>248</v>
      </c>
      <c r="H191" s="1" t="s">
        <v>1271</v>
      </c>
      <c r="I191" s="1" t="s">
        <v>1087</v>
      </c>
      <c r="J191">
        <v>3204</v>
      </c>
      <c r="K191" s="1" t="str">
        <f>VLOOKUP(uslugi41315[[#This Row],[ozn]],$A$2:$D$410,2,FALSE)</f>
        <v>Jaworzno</v>
      </c>
      <c r="L191" s="1">
        <f>IF(uslugi41315[[#This Row],[powiat]]="Konin",1,0)</f>
        <v>0</v>
      </c>
      <c r="M191" s="1" t="str">
        <f>VLOOKUP(uslugi41315[[#This Row],[NIP]],nip_firm61416[],2,FALSE)</f>
        <v>JELORA</v>
      </c>
    </row>
    <row r="192" spans="1:13" x14ac:dyDescent="0.25">
      <c r="A192" s="5" t="s">
        <v>517</v>
      </c>
      <c r="B192" s="6" t="s">
        <v>518</v>
      </c>
      <c r="C192" s="6" t="s">
        <v>519</v>
      </c>
      <c r="D192" s="7" t="s">
        <v>7</v>
      </c>
      <c r="F192">
        <v>1599095267</v>
      </c>
      <c r="G192" s="1" t="s">
        <v>248</v>
      </c>
      <c r="H192" s="1" t="s">
        <v>1272</v>
      </c>
      <c r="I192" s="1" t="s">
        <v>1087</v>
      </c>
      <c r="J192">
        <v>2516</v>
      </c>
      <c r="K192" s="1" t="str">
        <f>VLOOKUP(uslugi41315[[#This Row],[ozn]],$A$2:$D$410,2,FALSE)</f>
        <v>Jaworzno</v>
      </c>
      <c r="L192" s="1">
        <f>IF(uslugi41315[[#This Row],[powiat]]="Konin",1,0)</f>
        <v>0</v>
      </c>
      <c r="M192" s="1" t="str">
        <f>VLOOKUP(uslugi41315[[#This Row],[NIP]],nip_firm61416[],2,FALSE)</f>
        <v>ZONAN</v>
      </c>
    </row>
    <row r="193" spans="1:13" x14ac:dyDescent="0.25">
      <c r="A193" s="2" t="s">
        <v>520</v>
      </c>
      <c r="B193" s="3" t="s">
        <v>521</v>
      </c>
      <c r="C193" s="3" t="s">
        <v>522</v>
      </c>
      <c r="D193" s="4" t="s">
        <v>7</v>
      </c>
      <c r="F193">
        <v>3357631311</v>
      </c>
      <c r="G193" s="1" t="s">
        <v>1030</v>
      </c>
      <c r="H193" s="1" t="s">
        <v>1273</v>
      </c>
      <c r="I193" s="1" t="s">
        <v>1087</v>
      </c>
      <c r="J193">
        <v>1792</v>
      </c>
      <c r="K193" s="1" t="str">
        <f>VLOOKUP(uslugi41315[[#This Row],[ozn]],$A$2:$D$410,2,FALSE)</f>
        <v>zamojski</v>
      </c>
      <c r="L193" s="1">
        <f>IF(uslugi41315[[#This Row],[powiat]]="Konin",1,0)</f>
        <v>0</v>
      </c>
      <c r="M193" s="1" t="str">
        <f>VLOOKUP(uslugi41315[[#This Row],[NIP]],nip_firm61416[],2,FALSE)</f>
        <v>GAZPOL</v>
      </c>
    </row>
    <row r="194" spans="1:13" x14ac:dyDescent="0.25">
      <c r="A194" s="5" t="s">
        <v>523</v>
      </c>
      <c r="B194" s="6" t="s">
        <v>524</v>
      </c>
      <c r="C194" s="6" t="s">
        <v>525</v>
      </c>
      <c r="D194" s="7" t="s">
        <v>7</v>
      </c>
      <c r="F194">
        <v>4241680809</v>
      </c>
      <c r="G194" s="1" t="s">
        <v>777</v>
      </c>
      <c r="H194" s="1" t="s">
        <v>1274</v>
      </c>
      <c r="I194" s="1" t="s">
        <v>1081</v>
      </c>
      <c r="J194">
        <v>2885</v>
      </c>
      <c r="K194" s="1" t="str">
        <f>VLOOKUP(uslugi41315[[#This Row],[ozn]],$A$2:$D$410,2,FALSE)</f>
        <v>Sosnowiec</v>
      </c>
      <c r="L194" s="1">
        <f>IF(uslugi41315[[#This Row],[powiat]]="Konin",1,0)</f>
        <v>0</v>
      </c>
      <c r="M194" s="1" t="str">
        <f>VLOOKUP(uslugi41315[[#This Row],[NIP]],nip_firm61416[],2,FALSE)</f>
        <v>WROCBUD4</v>
      </c>
    </row>
    <row r="195" spans="1:13" x14ac:dyDescent="0.25">
      <c r="A195" s="2" t="s">
        <v>526</v>
      </c>
      <c r="B195" s="3" t="s">
        <v>516</v>
      </c>
      <c r="C195" s="3" t="s">
        <v>516</v>
      </c>
      <c r="D195" s="4" t="s">
        <v>22</v>
      </c>
      <c r="F195">
        <v>2281651150</v>
      </c>
      <c r="G195" s="1" t="s">
        <v>552</v>
      </c>
      <c r="H195" s="1" t="s">
        <v>1275</v>
      </c>
      <c r="I195" s="1" t="s">
        <v>1087</v>
      </c>
      <c r="J195">
        <v>2550</v>
      </c>
      <c r="K195" s="1" t="str">
        <f>VLOOKUP(uslugi41315[[#This Row],[ozn]],$A$2:$D$410,2,FALSE)</f>
        <v>olsztynski</v>
      </c>
      <c r="L195" s="1">
        <f>IF(uslugi41315[[#This Row],[powiat]]="Konin",1,0)</f>
        <v>0</v>
      </c>
      <c r="M195" s="1" t="str">
        <f>VLOOKUP(uslugi41315[[#This Row],[NIP]],nip_firm61416[],2,FALSE)</f>
        <v>MAZUTEX</v>
      </c>
    </row>
    <row r="196" spans="1:13" x14ac:dyDescent="0.25">
      <c r="A196" s="5" t="s">
        <v>527</v>
      </c>
      <c r="B196" s="6" t="s">
        <v>528</v>
      </c>
      <c r="C196" s="6" t="s">
        <v>529</v>
      </c>
      <c r="D196" s="7" t="s">
        <v>7</v>
      </c>
      <c r="F196">
        <v>4779174699</v>
      </c>
      <c r="G196" s="1" t="s">
        <v>1003</v>
      </c>
      <c r="H196" s="1" t="s">
        <v>1276</v>
      </c>
      <c r="I196" s="1" t="s">
        <v>1081</v>
      </c>
      <c r="J196">
        <v>2362</v>
      </c>
      <c r="K196" s="1" t="str">
        <f>VLOOKUP(uslugi41315[[#This Row],[ozn]],$A$2:$D$410,2,FALSE)</f>
        <v>Wroclaw</v>
      </c>
      <c r="L196" s="1">
        <f>IF(uslugi41315[[#This Row],[powiat]]="Konin",1,0)</f>
        <v>0</v>
      </c>
      <c r="M196" s="1" t="str">
        <f>VLOOKUP(uslugi41315[[#This Row],[NIP]],nip_firm61416[],2,FALSE)</f>
        <v>FASO</v>
      </c>
    </row>
    <row r="197" spans="1:13" x14ac:dyDescent="0.25">
      <c r="A197" s="2" t="s">
        <v>530</v>
      </c>
      <c r="B197" s="3" t="s">
        <v>531</v>
      </c>
      <c r="C197" s="3" t="s">
        <v>532</v>
      </c>
      <c r="D197" s="4" t="s">
        <v>7</v>
      </c>
      <c r="F197">
        <v>5624201652</v>
      </c>
      <c r="G197" s="1" t="s">
        <v>864</v>
      </c>
      <c r="H197" s="1" t="s">
        <v>1277</v>
      </c>
      <c r="I197" s="1" t="s">
        <v>1081</v>
      </c>
      <c r="J197">
        <v>3216</v>
      </c>
      <c r="K197" s="1" t="str">
        <f>VLOOKUP(uslugi41315[[#This Row],[ozn]],$A$2:$D$410,2,FALSE)</f>
        <v>tarnogorski</v>
      </c>
      <c r="L197" s="1">
        <f>IF(uslugi41315[[#This Row],[powiat]]="Konin",1,0)</f>
        <v>0</v>
      </c>
      <c r="M197" s="1" t="str">
        <f>VLOOKUP(uslugi41315[[#This Row],[NIP]],nip_firm61416[],2,FALSE)</f>
        <v>FAL-STAL</v>
      </c>
    </row>
    <row r="198" spans="1:13" x14ac:dyDescent="0.25">
      <c r="A198" s="5" t="s">
        <v>533</v>
      </c>
      <c r="B198" s="6" t="s">
        <v>534</v>
      </c>
      <c r="C198" s="6" t="s">
        <v>535</v>
      </c>
      <c r="D198" s="7" t="s">
        <v>7</v>
      </c>
      <c r="F198">
        <v>3866883575</v>
      </c>
      <c r="G198" s="1" t="s">
        <v>434</v>
      </c>
      <c r="H198" s="1" t="s">
        <v>1278</v>
      </c>
      <c r="I198" s="1" t="s">
        <v>1087</v>
      </c>
      <c r="J198">
        <v>2034</v>
      </c>
      <c r="K198" s="1" t="str">
        <f>VLOOKUP(uslugi41315[[#This Row],[ozn]],$A$2:$D$410,2,FALSE)</f>
        <v>Lublin</v>
      </c>
      <c r="L198" s="1">
        <f>IF(uslugi41315[[#This Row],[powiat]]="Konin",1,0)</f>
        <v>0</v>
      </c>
      <c r="M198" s="1" t="str">
        <f>VLOOKUP(uslugi41315[[#This Row],[NIP]],nip_firm61416[],2,FALSE)</f>
        <v>KPICO</v>
      </c>
    </row>
    <row r="199" spans="1:13" x14ac:dyDescent="0.25">
      <c r="A199" s="2" t="s">
        <v>536</v>
      </c>
      <c r="B199" s="3" t="s">
        <v>537</v>
      </c>
      <c r="C199" s="3" t="s">
        <v>538</v>
      </c>
      <c r="D199" s="4" t="s">
        <v>7</v>
      </c>
      <c r="F199">
        <v>4796841112</v>
      </c>
      <c r="G199" s="1" t="s">
        <v>533</v>
      </c>
      <c r="H199" s="1" t="s">
        <v>1279</v>
      </c>
      <c r="I199" s="1" t="s">
        <v>1087</v>
      </c>
      <c r="J199">
        <v>1885</v>
      </c>
      <c r="K199" s="1" t="str">
        <f>VLOOKUP(uslugi41315[[#This Row],[ozn]],$A$2:$D$410,2,FALSE)</f>
        <v>olawski</v>
      </c>
      <c r="L199" s="1">
        <f>IF(uslugi41315[[#This Row],[powiat]]="Konin",1,0)</f>
        <v>0</v>
      </c>
      <c r="M199" s="1" t="str">
        <f>VLOOKUP(uslugi41315[[#This Row],[NIP]],nip_firm61416[],2,FALSE)</f>
        <v>WARM S. A.</v>
      </c>
    </row>
    <row r="200" spans="1:13" x14ac:dyDescent="0.25">
      <c r="A200" s="5" t="s">
        <v>539</v>
      </c>
      <c r="B200" s="6" t="s">
        <v>540</v>
      </c>
      <c r="C200" s="6" t="s">
        <v>538</v>
      </c>
      <c r="D200" s="7" t="s">
        <v>7</v>
      </c>
      <c r="F200">
        <v>5341884086</v>
      </c>
      <c r="G200" s="1" t="s">
        <v>777</v>
      </c>
      <c r="H200" s="1" t="s">
        <v>1280</v>
      </c>
      <c r="I200" s="1" t="s">
        <v>1087</v>
      </c>
      <c r="J200">
        <v>2490</v>
      </c>
      <c r="K200" s="1" t="str">
        <f>VLOOKUP(uslugi41315[[#This Row],[ozn]],$A$2:$D$410,2,FALSE)</f>
        <v>Sosnowiec</v>
      </c>
      <c r="L200" s="1">
        <f>IF(uslugi41315[[#This Row],[powiat]]="Konin",1,0)</f>
        <v>0</v>
      </c>
      <c r="M200" s="1" t="str">
        <f>VLOOKUP(uslugi41315[[#This Row],[NIP]],nip_firm61416[],2,FALSE)</f>
        <v>SENIN</v>
      </c>
    </row>
    <row r="201" spans="1:13" x14ac:dyDescent="0.25">
      <c r="A201" s="2" t="s">
        <v>541</v>
      </c>
      <c r="B201" s="3" t="s">
        <v>542</v>
      </c>
      <c r="C201" s="3" t="s">
        <v>543</v>
      </c>
      <c r="D201" s="4" t="s">
        <v>7</v>
      </c>
      <c r="F201">
        <v>4779174699</v>
      </c>
      <c r="G201" s="1" t="s">
        <v>1003</v>
      </c>
      <c r="H201" s="1" t="s">
        <v>1281</v>
      </c>
      <c r="I201" s="1" t="s">
        <v>1081</v>
      </c>
      <c r="J201">
        <v>2580</v>
      </c>
      <c r="K201" s="1" t="str">
        <f>VLOOKUP(uslugi41315[[#This Row],[ozn]],$A$2:$D$410,2,FALSE)</f>
        <v>Wroclaw</v>
      </c>
      <c r="L201" s="1">
        <f>IF(uslugi41315[[#This Row],[powiat]]="Konin",1,0)</f>
        <v>0</v>
      </c>
      <c r="M201" s="1" t="str">
        <f>VLOOKUP(uslugi41315[[#This Row],[NIP]],nip_firm61416[],2,FALSE)</f>
        <v>FASO</v>
      </c>
    </row>
    <row r="202" spans="1:13" x14ac:dyDescent="0.25">
      <c r="A202" s="5" t="s">
        <v>544</v>
      </c>
      <c r="B202" s="6" t="s">
        <v>545</v>
      </c>
      <c r="C202" s="6" t="s">
        <v>546</v>
      </c>
      <c r="D202" s="7" t="s">
        <v>7</v>
      </c>
      <c r="F202">
        <v>5514533376</v>
      </c>
      <c r="G202" s="1" t="s">
        <v>40</v>
      </c>
      <c r="H202" s="1" t="s">
        <v>1282</v>
      </c>
      <c r="I202" s="1" t="s">
        <v>1081</v>
      </c>
      <c r="J202">
        <v>2634</v>
      </c>
      <c r="K202" s="1" t="str">
        <f>VLOOKUP(uslugi41315[[#This Row],[ozn]],$A$2:$D$410,2,FALSE)</f>
        <v>Bielsko-Biala</v>
      </c>
      <c r="L202" s="1">
        <f>IF(uslugi41315[[#This Row],[powiat]]="Konin",1,0)</f>
        <v>0</v>
      </c>
      <c r="M202" s="1" t="str">
        <f>VLOOKUP(uslugi41315[[#This Row],[NIP]],nip_firm61416[],2,FALSE)</f>
        <v>BYTOM2</v>
      </c>
    </row>
    <row r="203" spans="1:13" x14ac:dyDescent="0.25">
      <c r="A203" s="2" t="s">
        <v>547</v>
      </c>
      <c r="B203" s="3" t="s">
        <v>548</v>
      </c>
      <c r="C203" s="3" t="s">
        <v>549</v>
      </c>
      <c r="D203" s="4" t="s">
        <v>7</v>
      </c>
      <c r="F203">
        <v>3470453173</v>
      </c>
      <c r="G203" s="1" t="s">
        <v>85</v>
      </c>
      <c r="H203" s="1" t="s">
        <v>1283</v>
      </c>
      <c r="I203" s="1" t="s">
        <v>1087</v>
      </c>
      <c r="J203">
        <v>2584</v>
      </c>
      <c r="K203" s="1" t="str">
        <f>VLOOKUP(uslugi41315[[#This Row],[ozn]],$A$2:$D$410,2,FALSE)</f>
        <v>Chelm</v>
      </c>
      <c r="L203" s="1">
        <f>IF(uslugi41315[[#This Row],[powiat]]="Konin",1,0)</f>
        <v>0</v>
      </c>
      <c r="M203" s="1" t="str">
        <f>VLOOKUP(uslugi41315[[#This Row],[NIP]],nip_firm61416[],2,FALSE)</f>
        <v>MASPOL</v>
      </c>
    </row>
    <row r="204" spans="1:13" x14ac:dyDescent="0.25">
      <c r="A204" s="5" t="s">
        <v>550</v>
      </c>
      <c r="B204" s="6" t="s">
        <v>551</v>
      </c>
      <c r="C204" s="6" t="s">
        <v>551</v>
      </c>
      <c r="D204" s="7" t="s">
        <v>22</v>
      </c>
      <c r="F204">
        <v>4796841112</v>
      </c>
      <c r="G204" s="1" t="s">
        <v>533</v>
      </c>
      <c r="H204" s="1" t="s">
        <v>1284</v>
      </c>
      <c r="I204" s="1" t="s">
        <v>1081</v>
      </c>
      <c r="J204">
        <v>2576</v>
      </c>
      <c r="K204" s="1" t="str">
        <f>VLOOKUP(uslugi41315[[#This Row],[ozn]],$A$2:$D$410,2,FALSE)</f>
        <v>olawski</v>
      </c>
      <c r="L204" s="1">
        <f>IF(uslugi41315[[#This Row],[powiat]]="Konin",1,0)</f>
        <v>0</v>
      </c>
      <c r="M204" s="1" t="str">
        <f>VLOOKUP(uslugi41315[[#This Row],[NIP]],nip_firm61416[],2,FALSE)</f>
        <v>WARM S. A.</v>
      </c>
    </row>
    <row r="205" spans="1:13" x14ac:dyDescent="0.25">
      <c r="A205" s="2" t="s">
        <v>552</v>
      </c>
      <c r="B205" s="3" t="s">
        <v>553</v>
      </c>
      <c r="C205" s="3" t="s">
        <v>551</v>
      </c>
      <c r="D205" s="4" t="s">
        <v>7</v>
      </c>
      <c r="F205">
        <v>5266741491</v>
      </c>
      <c r="G205" s="1" t="s">
        <v>777</v>
      </c>
      <c r="H205" s="1" t="s">
        <v>1285</v>
      </c>
      <c r="I205" s="1" t="s">
        <v>1087</v>
      </c>
      <c r="J205">
        <v>1946</v>
      </c>
      <c r="K205" s="1" t="str">
        <f>VLOOKUP(uslugi41315[[#This Row],[ozn]],$A$2:$D$410,2,FALSE)</f>
        <v>Sosnowiec</v>
      </c>
      <c r="L205" s="1">
        <f>IF(uslugi41315[[#This Row],[powiat]]="Konin",1,0)</f>
        <v>0</v>
      </c>
      <c r="M205" s="1" t="str">
        <f>VLOOKUP(uslugi41315[[#This Row],[NIP]],nip_firm61416[],2,FALSE)</f>
        <v>PIEKAR</v>
      </c>
    </row>
    <row r="206" spans="1:13" x14ac:dyDescent="0.25">
      <c r="A206" s="5" t="s">
        <v>554</v>
      </c>
      <c r="B206" s="6" t="s">
        <v>555</v>
      </c>
      <c r="C206" s="6" t="s">
        <v>556</v>
      </c>
      <c r="D206" s="7" t="s">
        <v>7</v>
      </c>
      <c r="F206">
        <v>4715154852</v>
      </c>
      <c r="G206" s="1" t="s">
        <v>1003</v>
      </c>
      <c r="H206" s="1" t="s">
        <v>1286</v>
      </c>
      <c r="I206" s="1" t="s">
        <v>1081</v>
      </c>
      <c r="J206">
        <v>2880</v>
      </c>
      <c r="K206" s="1" t="str">
        <f>VLOOKUP(uslugi41315[[#This Row],[ozn]],$A$2:$D$410,2,FALSE)</f>
        <v>Wroclaw</v>
      </c>
      <c r="L206" s="1">
        <f>IF(uslugi41315[[#This Row],[powiat]]="Konin",1,0)</f>
        <v>0</v>
      </c>
      <c r="M206" s="1" t="str">
        <f>VLOOKUP(uslugi41315[[#This Row],[NIP]],nip_firm61416[],2,FALSE)</f>
        <v>NAFTO-GAZ</v>
      </c>
    </row>
    <row r="207" spans="1:13" x14ac:dyDescent="0.25">
      <c r="A207" s="2" t="s">
        <v>557</v>
      </c>
      <c r="B207" s="3" t="s">
        <v>558</v>
      </c>
      <c r="C207" s="3" t="s">
        <v>559</v>
      </c>
      <c r="D207" s="4" t="s">
        <v>7</v>
      </c>
      <c r="F207">
        <v>5418968184</v>
      </c>
      <c r="G207" s="1" t="s">
        <v>777</v>
      </c>
      <c r="H207" s="1" t="s">
        <v>1287</v>
      </c>
      <c r="I207" s="1" t="s">
        <v>1081</v>
      </c>
      <c r="J207">
        <v>2630</v>
      </c>
      <c r="K207" s="1" t="str">
        <f>VLOOKUP(uslugi41315[[#This Row],[ozn]],$A$2:$D$410,2,FALSE)</f>
        <v>Sosnowiec</v>
      </c>
      <c r="L207" s="1">
        <f>IF(uslugi41315[[#This Row],[powiat]]="Konin",1,0)</f>
        <v>0</v>
      </c>
      <c r="M207" s="1" t="str">
        <f>VLOOKUP(uslugi41315[[#This Row],[NIP]],nip_firm61416[],2,FALSE)</f>
        <v>SOSNEC</v>
      </c>
    </row>
    <row r="208" spans="1:13" x14ac:dyDescent="0.25">
      <c r="A208" s="5" t="s">
        <v>560</v>
      </c>
      <c r="B208" s="6" t="s">
        <v>561</v>
      </c>
      <c r="C208" s="6" t="s">
        <v>561</v>
      </c>
      <c r="D208" s="7" t="s">
        <v>22</v>
      </c>
      <c r="F208">
        <v>1599095267</v>
      </c>
      <c r="G208" s="1" t="s">
        <v>777</v>
      </c>
      <c r="H208" s="1" t="s">
        <v>1288</v>
      </c>
      <c r="I208" s="1" t="s">
        <v>1087</v>
      </c>
      <c r="J208">
        <v>2112</v>
      </c>
      <c r="K208" s="1" t="str">
        <f>VLOOKUP(uslugi41315[[#This Row],[ozn]],$A$2:$D$410,2,FALSE)</f>
        <v>Sosnowiec</v>
      </c>
      <c r="L208" s="1">
        <f>IF(uslugi41315[[#This Row],[powiat]]="Konin",1,0)</f>
        <v>0</v>
      </c>
      <c r="M208" s="1" t="str">
        <f>VLOOKUP(uslugi41315[[#This Row],[NIP]],nip_firm61416[],2,FALSE)</f>
        <v>ZONAN</v>
      </c>
    </row>
    <row r="209" spans="1:13" x14ac:dyDescent="0.25">
      <c r="A209" s="2" t="s">
        <v>562</v>
      </c>
      <c r="B209" s="3" t="s">
        <v>563</v>
      </c>
      <c r="C209" s="3" t="s">
        <v>561</v>
      </c>
      <c r="D209" s="4" t="s">
        <v>7</v>
      </c>
      <c r="F209">
        <v>1433397952</v>
      </c>
      <c r="G209" s="1" t="s">
        <v>314</v>
      </c>
      <c r="H209" s="1" t="s">
        <v>1289</v>
      </c>
      <c r="I209" s="1" t="s">
        <v>1081</v>
      </c>
      <c r="J209">
        <v>2928</v>
      </c>
      <c r="K209" s="1" t="str">
        <f>VLOOKUP(uslugi41315[[#This Row],[ozn]],$A$2:$D$410,2,FALSE)</f>
        <v>Konin</v>
      </c>
      <c r="L209" s="1">
        <f>IF(uslugi41315[[#This Row],[powiat]]="Konin",1,0)</f>
        <v>1</v>
      </c>
      <c r="M209" s="1" t="str">
        <f>VLOOKUP(uslugi41315[[#This Row],[NIP]],nip_firm61416[],2,FALSE)</f>
        <v>BARTEX</v>
      </c>
    </row>
    <row r="210" spans="1:13" x14ac:dyDescent="0.25">
      <c r="A210" s="5" t="s">
        <v>564</v>
      </c>
      <c r="B210" s="6" t="s">
        <v>563</v>
      </c>
      <c r="C210" s="6" t="s">
        <v>565</v>
      </c>
      <c r="D210" s="7" t="s">
        <v>7</v>
      </c>
      <c r="F210">
        <v>2281651150</v>
      </c>
      <c r="G210" s="1" t="s">
        <v>552</v>
      </c>
      <c r="H210" s="1" t="s">
        <v>1290</v>
      </c>
      <c r="I210" s="1" t="s">
        <v>1087</v>
      </c>
      <c r="J210">
        <v>2295</v>
      </c>
      <c r="K210" s="1" t="str">
        <f>VLOOKUP(uslugi41315[[#This Row],[ozn]],$A$2:$D$410,2,FALSE)</f>
        <v>olsztynski</v>
      </c>
      <c r="L210" s="1">
        <f>IF(uslugi41315[[#This Row],[powiat]]="Konin",1,0)</f>
        <v>0</v>
      </c>
      <c r="M210" s="1" t="str">
        <f>VLOOKUP(uslugi41315[[#This Row],[NIP]],nip_firm61416[],2,FALSE)</f>
        <v>MAZUTEX</v>
      </c>
    </row>
    <row r="211" spans="1:13" x14ac:dyDescent="0.25">
      <c r="A211" s="2" t="s">
        <v>566</v>
      </c>
      <c r="B211" s="3" t="s">
        <v>567</v>
      </c>
      <c r="C211" s="3" t="s">
        <v>568</v>
      </c>
      <c r="D211" s="4" t="s">
        <v>7</v>
      </c>
      <c r="F211">
        <v>5341884086</v>
      </c>
      <c r="G211" s="1" t="s">
        <v>777</v>
      </c>
      <c r="H211" s="1" t="s">
        <v>1291</v>
      </c>
      <c r="I211" s="1" t="s">
        <v>1081</v>
      </c>
      <c r="J211">
        <v>2556</v>
      </c>
      <c r="K211" s="1" t="str">
        <f>VLOOKUP(uslugi41315[[#This Row],[ozn]],$A$2:$D$410,2,FALSE)</f>
        <v>Sosnowiec</v>
      </c>
      <c r="L211" s="1">
        <f>IF(uslugi41315[[#This Row],[powiat]]="Konin",1,0)</f>
        <v>0</v>
      </c>
      <c r="M211" s="1" t="str">
        <f>VLOOKUP(uslugi41315[[#This Row],[NIP]],nip_firm61416[],2,FALSE)</f>
        <v>SENIN</v>
      </c>
    </row>
    <row r="212" spans="1:13" x14ac:dyDescent="0.25">
      <c r="A212" s="5" t="s">
        <v>569</v>
      </c>
      <c r="B212" s="6" t="s">
        <v>570</v>
      </c>
      <c r="C212" s="6" t="s">
        <v>571</v>
      </c>
      <c r="D212" s="7" t="s">
        <v>7</v>
      </c>
      <c r="F212">
        <v>3568004264</v>
      </c>
      <c r="G212" s="1" t="s">
        <v>428</v>
      </c>
      <c r="H212" s="1" t="s">
        <v>1292</v>
      </c>
      <c r="I212" s="1" t="s">
        <v>1081</v>
      </c>
      <c r="J212">
        <v>2568</v>
      </c>
      <c r="K212" s="1" t="str">
        <f>VLOOKUP(uslugi41315[[#This Row],[ozn]],$A$2:$D$410,2,FALSE)</f>
        <v>lubelski</v>
      </c>
      <c r="L212" s="1">
        <f>IF(uslugi41315[[#This Row],[powiat]]="Konin",1,0)</f>
        <v>0</v>
      </c>
      <c r="M212" s="1" t="str">
        <f>VLOOKUP(uslugi41315[[#This Row],[NIP]],nip_firm61416[],2,FALSE)</f>
        <v>MURATOR</v>
      </c>
    </row>
    <row r="213" spans="1:13" x14ac:dyDescent="0.25">
      <c r="A213" s="2" t="s">
        <v>572</v>
      </c>
      <c r="B213" s="3" t="s">
        <v>571</v>
      </c>
      <c r="C213" s="3" t="s">
        <v>571</v>
      </c>
      <c r="D213" s="4" t="s">
        <v>22</v>
      </c>
      <c r="F213">
        <v>5185759244</v>
      </c>
      <c r="G213" s="1" t="s">
        <v>777</v>
      </c>
      <c r="H213" s="1" t="s">
        <v>1293</v>
      </c>
      <c r="I213" s="1" t="s">
        <v>1081</v>
      </c>
      <c r="J213">
        <v>2674</v>
      </c>
      <c r="K213" s="1" t="str">
        <f>VLOOKUP(uslugi41315[[#This Row],[ozn]],$A$2:$D$410,2,FALSE)</f>
        <v>Sosnowiec</v>
      </c>
      <c r="L213" s="1">
        <f>IF(uslugi41315[[#This Row],[powiat]]="Konin",1,0)</f>
        <v>0</v>
      </c>
      <c r="M213" s="1" t="str">
        <f>VLOOKUP(uslugi41315[[#This Row],[NIP]],nip_firm61416[],2,FALSE)</f>
        <v>BYTOM1</v>
      </c>
    </row>
    <row r="214" spans="1:13" x14ac:dyDescent="0.25">
      <c r="A214" s="5" t="s">
        <v>573</v>
      </c>
      <c r="B214" s="6" t="s">
        <v>574</v>
      </c>
      <c r="C214" s="6" t="s">
        <v>575</v>
      </c>
      <c r="D214" s="7" t="s">
        <v>7</v>
      </c>
      <c r="F214">
        <v>4326751508</v>
      </c>
      <c r="G214" s="1" t="s">
        <v>40</v>
      </c>
      <c r="H214" s="1" t="s">
        <v>1294</v>
      </c>
      <c r="I214" s="1" t="s">
        <v>1081</v>
      </c>
      <c r="J214">
        <v>3120</v>
      </c>
      <c r="K214" s="1" t="str">
        <f>VLOOKUP(uslugi41315[[#This Row],[ozn]],$A$2:$D$410,2,FALSE)</f>
        <v>Bielsko-Biala</v>
      </c>
      <c r="L214" s="1">
        <f>IF(uslugi41315[[#This Row],[powiat]]="Konin",1,0)</f>
        <v>0</v>
      </c>
      <c r="M214" s="1" t="str">
        <f>VLOOKUP(uslugi41315[[#This Row],[NIP]],nip_firm61416[],2,FALSE)</f>
        <v>WROCBUD2</v>
      </c>
    </row>
    <row r="215" spans="1:13" x14ac:dyDescent="0.25">
      <c r="A215" s="2" t="s">
        <v>576</v>
      </c>
      <c r="B215" s="3" t="s">
        <v>577</v>
      </c>
      <c r="C215" s="3" t="s">
        <v>578</v>
      </c>
      <c r="D215" s="4" t="s">
        <v>7</v>
      </c>
      <c r="F215">
        <v>1433397952</v>
      </c>
      <c r="G215" s="1" t="s">
        <v>314</v>
      </c>
      <c r="H215" s="1" t="s">
        <v>1295</v>
      </c>
      <c r="I215" s="1" t="s">
        <v>1087</v>
      </c>
      <c r="J215">
        <v>1896</v>
      </c>
      <c r="K215" s="1" t="str">
        <f>VLOOKUP(uslugi41315[[#This Row],[ozn]],$A$2:$D$410,2,FALSE)</f>
        <v>Konin</v>
      </c>
      <c r="L215" s="1">
        <f>IF(uslugi41315[[#This Row],[powiat]]="Konin",1,0)</f>
        <v>1</v>
      </c>
      <c r="M215" s="1" t="str">
        <f>VLOOKUP(uslugi41315[[#This Row],[NIP]],nip_firm61416[],2,FALSE)</f>
        <v>BARTEX</v>
      </c>
    </row>
    <row r="216" spans="1:13" x14ac:dyDescent="0.25">
      <c r="A216" s="5" t="s">
        <v>579</v>
      </c>
      <c r="B216" s="6" t="s">
        <v>577</v>
      </c>
      <c r="C216" s="6" t="s">
        <v>580</v>
      </c>
      <c r="D216" s="7" t="s">
        <v>7</v>
      </c>
      <c r="F216">
        <v>4779174699</v>
      </c>
      <c r="G216" s="1" t="s">
        <v>1003</v>
      </c>
      <c r="H216" s="1" t="s">
        <v>1296</v>
      </c>
      <c r="I216" s="1" t="s">
        <v>1087</v>
      </c>
      <c r="J216">
        <v>2608</v>
      </c>
      <c r="K216" s="1" t="str">
        <f>VLOOKUP(uslugi41315[[#This Row],[ozn]],$A$2:$D$410,2,FALSE)</f>
        <v>Wroclaw</v>
      </c>
      <c r="L216" s="1">
        <f>IF(uslugi41315[[#This Row],[powiat]]="Konin",1,0)</f>
        <v>0</v>
      </c>
      <c r="M216" s="1" t="str">
        <f>VLOOKUP(uslugi41315[[#This Row],[NIP]],nip_firm61416[],2,FALSE)</f>
        <v>FASO</v>
      </c>
    </row>
    <row r="217" spans="1:13" x14ac:dyDescent="0.25">
      <c r="A217" s="2" t="s">
        <v>581</v>
      </c>
      <c r="B217" s="3" t="s">
        <v>582</v>
      </c>
      <c r="C217" s="3" t="s">
        <v>583</v>
      </c>
      <c r="D217" s="4" t="s">
        <v>7</v>
      </c>
      <c r="F217">
        <v>3678947206</v>
      </c>
      <c r="G217" s="1" t="s">
        <v>527</v>
      </c>
      <c r="H217" s="1" t="s">
        <v>1297</v>
      </c>
      <c r="I217" s="1" t="s">
        <v>1087</v>
      </c>
      <c r="J217">
        <v>2154</v>
      </c>
      <c r="K217" s="1" t="str">
        <f>VLOOKUP(uslugi41315[[#This Row],[ozn]],$A$2:$D$410,2,FALSE)</f>
        <v>nyski</v>
      </c>
      <c r="L217" s="1">
        <f>IF(uslugi41315[[#This Row],[powiat]]="Konin",1,0)</f>
        <v>0</v>
      </c>
      <c r="M217" s="1" t="str">
        <f>VLOOKUP(uslugi41315[[#This Row],[NIP]],nip_firm61416[],2,FALSE)</f>
        <v>LUBLIN2</v>
      </c>
    </row>
    <row r="218" spans="1:13" x14ac:dyDescent="0.25">
      <c r="A218" s="5" t="s">
        <v>584</v>
      </c>
      <c r="B218" s="6" t="s">
        <v>585</v>
      </c>
      <c r="C218" s="6" t="s">
        <v>586</v>
      </c>
      <c r="D218" s="7" t="s">
        <v>7</v>
      </c>
      <c r="F218">
        <v>1939065269</v>
      </c>
      <c r="G218" s="1" t="s">
        <v>636</v>
      </c>
      <c r="H218" s="1" t="s">
        <v>1298</v>
      </c>
      <c r="I218" s="1" t="s">
        <v>1081</v>
      </c>
      <c r="J218">
        <v>2328</v>
      </c>
      <c r="K218" s="1" t="str">
        <f>VLOOKUP(uslugi41315[[#This Row],[ozn]],$A$2:$D$410,2,FALSE)</f>
        <v>Poznan</v>
      </c>
      <c r="L218" s="1">
        <f>IF(uslugi41315[[#This Row],[powiat]]="Konin",1,0)</f>
        <v>0</v>
      </c>
      <c r="M218" s="1" t="str">
        <f>VLOOKUP(uslugi41315[[#This Row],[NIP]],nip_firm61416[],2,FALSE)</f>
        <v>KUSTMASZ</v>
      </c>
    </row>
    <row r="219" spans="1:13" x14ac:dyDescent="0.25">
      <c r="A219" s="2" t="s">
        <v>587</v>
      </c>
      <c r="B219" s="3" t="s">
        <v>588</v>
      </c>
      <c r="C219" s="3" t="s">
        <v>589</v>
      </c>
      <c r="D219" s="4" t="s">
        <v>7</v>
      </c>
      <c r="F219">
        <v>5514533376</v>
      </c>
      <c r="G219" s="1" t="s">
        <v>255</v>
      </c>
      <c r="H219" s="1" t="s">
        <v>1299</v>
      </c>
      <c r="I219" s="1" t="s">
        <v>1081</v>
      </c>
      <c r="J219">
        <v>2548</v>
      </c>
      <c r="K219" s="1" t="str">
        <f>VLOOKUP(uslugi41315[[#This Row],[ozn]],$A$2:$D$410,2,FALSE)</f>
        <v>jeleniogorski</v>
      </c>
      <c r="L219" s="1">
        <f>IF(uslugi41315[[#This Row],[powiat]]="Konin",1,0)</f>
        <v>0</v>
      </c>
      <c r="M219" s="1" t="str">
        <f>VLOOKUP(uslugi41315[[#This Row],[NIP]],nip_firm61416[],2,FALSE)</f>
        <v>BYTOM2</v>
      </c>
    </row>
    <row r="220" spans="1:13" x14ac:dyDescent="0.25">
      <c r="A220" s="5" t="s">
        <v>590</v>
      </c>
      <c r="B220" s="6" t="s">
        <v>591</v>
      </c>
      <c r="C220" s="6" t="s">
        <v>592</v>
      </c>
      <c r="D220" s="7" t="s">
        <v>7</v>
      </c>
      <c r="F220">
        <v>5115061689</v>
      </c>
      <c r="G220" s="1" t="s">
        <v>704</v>
      </c>
      <c r="H220" s="1" t="s">
        <v>1300</v>
      </c>
      <c r="I220" s="1" t="s">
        <v>1087</v>
      </c>
      <c r="J220">
        <v>1902</v>
      </c>
      <c r="K220" s="1" t="str">
        <f>VLOOKUP(uslugi41315[[#This Row],[ozn]],$A$2:$D$410,2,FALSE)</f>
        <v>Ruda Slaska</v>
      </c>
      <c r="L220" s="1">
        <f>IF(uslugi41315[[#This Row],[powiat]]="Konin",1,0)</f>
        <v>0</v>
      </c>
      <c r="M220" s="1" t="str">
        <f>VLOOKUP(uslugi41315[[#This Row],[NIP]],nip_firm61416[],2,FALSE)</f>
        <v>BETON-STAL</v>
      </c>
    </row>
    <row r="221" spans="1:13" x14ac:dyDescent="0.25">
      <c r="A221" s="2" t="s">
        <v>593</v>
      </c>
      <c r="B221" s="3" t="s">
        <v>594</v>
      </c>
      <c r="C221" s="3" t="s">
        <v>595</v>
      </c>
      <c r="D221" s="4" t="s">
        <v>7</v>
      </c>
      <c r="F221">
        <v>4326751508</v>
      </c>
      <c r="G221" s="1" t="s">
        <v>255</v>
      </c>
      <c r="H221" s="1" t="s">
        <v>1301</v>
      </c>
      <c r="I221" s="1" t="s">
        <v>1081</v>
      </c>
      <c r="J221">
        <v>2456</v>
      </c>
      <c r="K221" s="1" t="str">
        <f>VLOOKUP(uslugi41315[[#This Row],[ozn]],$A$2:$D$410,2,FALSE)</f>
        <v>jeleniogorski</v>
      </c>
      <c r="L221" s="1">
        <f>IF(uslugi41315[[#This Row],[powiat]]="Konin",1,0)</f>
        <v>0</v>
      </c>
      <c r="M221" s="1" t="str">
        <f>VLOOKUP(uslugi41315[[#This Row],[NIP]],nip_firm61416[],2,FALSE)</f>
        <v>WROCBUD2</v>
      </c>
    </row>
    <row r="222" spans="1:13" x14ac:dyDescent="0.25">
      <c r="A222" s="5" t="s">
        <v>596</v>
      </c>
      <c r="B222" s="6" t="s">
        <v>597</v>
      </c>
      <c r="C222" s="6" t="s">
        <v>598</v>
      </c>
      <c r="D222" s="7" t="s">
        <v>7</v>
      </c>
      <c r="F222">
        <v>1278408463</v>
      </c>
      <c r="G222" s="1" t="s">
        <v>312</v>
      </c>
      <c r="H222" s="1" t="s">
        <v>1302</v>
      </c>
      <c r="I222" s="1" t="s">
        <v>1087</v>
      </c>
      <c r="J222">
        <v>2544</v>
      </c>
      <c r="K222" s="1" t="str">
        <f>VLOOKUP(uslugi41315[[#This Row],[ozn]],$A$2:$D$410,2,FALSE)</f>
        <v>Konin</v>
      </c>
      <c r="L222" s="1">
        <f>IF(uslugi41315[[#This Row],[powiat]]="Konin",1,0)</f>
        <v>1</v>
      </c>
      <c r="M222" s="1" t="str">
        <f>VLOOKUP(uslugi41315[[#This Row],[NIP]],nip_firm61416[],2,FALSE)</f>
        <v>REFAMUR</v>
      </c>
    </row>
    <row r="223" spans="1:13" x14ac:dyDescent="0.25">
      <c r="A223" s="2" t="s">
        <v>599</v>
      </c>
      <c r="B223" s="3" t="s">
        <v>600</v>
      </c>
      <c r="C223" s="3" t="s">
        <v>601</v>
      </c>
      <c r="D223" s="4" t="s">
        <v>7</v>
      </c>
      <c r="F223">
        <v>5528435390</v>
      </c>
      <c r="G223" s="1" t="s">
        <v>777</v>
      </c>
      <c r="H223" s="1" t="s">
        <v>1303</v>
      </c>
      <c r="I223" s="1" t="s">
        <v>1081</v>
      </c>
      <c r="J223">
        <v>3495</v>
      </c>
      <c r="K223" s="1" t="str">
        <f>VLOOKUP(uslugi41315[[#This Row],[ozn]],$A$2:$D$410,2,FALSE)</f>
        <v>Sosnowiec</v>
      </c>
      <c r="L223" s="1">
        <f>IF(uslugi41315[[#This Row],[powiat]]="Konin",1,0)</f>
        <v>0</v>
      </c>
      <c r="M223" s="1" t="str">
        <f>VLOOKUP(uslugi41315[[#This Row],[NIP]],nip_firm61416[],2,FALSE)</f>
        <v>ZABER</v>
      </c>
    </row>
    <row r="224" spans="1:13" x14ac:dyDescent="0.25">
      <c r="A224" s="5" t="s">
        <v>602</v>
      </c>
      <c r="B224" s="6" t="s">
        <v>603</v>
      </c>
      <c r="C224" s="6" t="s">
        <v>603</v>
      </c>
      <c r="D224" s="7" t="s">
        <v>22</v>
      </c>
      <c r="F224">
        <v>2138598159</v>
      </c>
      <c r="G224" s="1" t="s">
        <v>143</v>
      </c>
      <c r="H224" s="1" t="s">
        <v>1304</v>
      </c>
      <c r="I224" s="1" t="s">
        <v>1081</v>
      </c>
      <c r="J224">
        <v>2550</v>
      </c>
      <c r="K224" s="1" t="str">
        <f>VLOOKUP(uslugi41315[[#This Row],[ozn]],$A$2:$D$410,2,FALSE)</f>
        <v>elcki</v>
      </c>
      <c r="L224" s="1">
        <f>IF(uslugi41315[[#This Row],[powiat]]="Konin",1,0)</f>
        <v>0</v>
      </c>
      <c r="M224" s="1" t="str">
        <f>VLOOKUP(uslugi41315[[#This Row],[NIP]],nip_firm61416[],2,FALSE)</f>
        <v>METALL</v>
      </c>
    </row>
    <row r="225" spans="1:13" x14ac:dyDescent="0.25">
      <c r="A225" s="2" t="s">
        <v>604</v>
      </c>
      <c r="B225" s="3" t="s">
        <v>605</v>
      </c>
      <c r="C225" s="3" t="s">
        <v>606</v>
      </c>
      <c r="D225" s="4" t="s">
        <v>7</v>
      </c>
      <c r="F225">
        <v>1599095267</v>
      </c>
      <c r="G225" s="1" t="s">
        <v>777</v>
      </c>
      <c r="H225" s="1" t="s">
        <v>1305</v>
      </c>
      <c r="I225" s="1" t="s">
        <v>1087</v>
      </c>
      <c r="J225">
        <v>2448</v>
      </c>
      <c r="K225" s="1" t="str">
        <f>VLOOKUP(uslugi41315[[#This Row],[ozn]],$A$2:$D$410,2,FALSE)</f>
        <v>Sosnowiec</v>
      </c>
      <c r="L225" s="1">
        <f>IF(uslugi41315[[#This Row],[powiat]]="Konin",1,0)</f>
        <v>0</v>
      </c>
      <c r="M225" s="1" t="str">
        <f>VLOOKUP(uslugi41315[[#This Row],[NIP]],nip_firm61416[],2,FALSE)</f>
        <v>ZONAN</v>
      </c>
    </row>
    <row r="226" spans="1:13" x14ac:dyDescent="0.25">
      <c r="A226" s="5" t="s">
        <v>607</v>
      </c>
      <c r="B226" s="6" t="s">
        <v>608</v>
      </c>
      <c r="C226" s="6" t="s">
        <v>609</v>
      </c>
      <c r="D226" s="7" t="s">
        <v>7</v>
      </c>
      <c r="F226">
        <v>5341884086</v>
      </c>
      <c r="G226" s="1" t="s">
        <v>777</v>
      </c>
      <c r="H226" s="1" t="s">
        <v>1306</v>
      </c>
      <c r="I226" s="1" t="s">
        <v>1081</v>
      </c>
      <c r="J226">
        <v>3645</v>
      </c>
      <c r="K226" s="1" t="str">
        <f>VLOOKUP(uslugi41315[[#This Row],[ozn]],$A$2:$D$410,2,FALSE)</f>
        <v>Sosnowiec</v>
      </c>
      <c r="L226" s="1">
        <f>IF(uslugi41315[[#This Row],[powiat]]="Konin",1,0)</f>
        <v>0</v>
      </c>
      <c r="M226" s="1" t="str">
        <f>VLOOKUP(uslugi41315[[#This Row],[NIP]],nip_firm61416[],2,FALSE)</f>
        <v>SENIN</v>
      </c>
    </row>
    <row r="227" spans="1:13" x14ac:dyDescent="0.25">
      <c r="A227" s="2" t="s">
        <v>610</v>
      </c>
      <c r="B227" s="3" t="s">
        <v>611</v>
      </c>
      <c r="C227" s="3" t="s">
        <v>611</v>
      </c>
      <c r="D227" s="4" t="s">
        <v>22</v>
      </c>
      <c r="F227">
        <v>1433397952</v>
      </c>
      <c r="G227" s="1" t="s">
        <v>314</v>
      </c>
      <c r="H227" s="1" t="s">
        <v>1307</v>
      </c>
      <c r="I227" s="1" t="s">
        <v>1087</v>
      </c>
      <c r="J227">
        <v>2935</v>
      </c>
      <c r="K227" s="1" t="str">
        <f>VLOOKUP(uslugi41315[[#This Row],[ozn]],$A$2:$D$410,2,FALSE)</f>
        <v>Konin</v>
      </c>
      <c r="L227" s="1">
        <f>IF(uslugi41315[[#This Row],[powiat]]="Konin",1,0)</f>
        <v>1</v>
      </c>
      <c r="M227" s="1" t="str">
        <f>VLOOKUP(uslugi41315[[#This Row],[NIP]],nip_firm61416[],2,FALSE)</f>
        <v>BARTEX</v>
      </c>
    </row>
    <row r="228" spans="1:13" x14ac:dyDescent="0.25">
      <c r="A228" s="5" t="s">
        <v>612</v>
      </c>
      <c r="B228" s="6" t="s">
        <v>613</v>
      </c>
      <c r="C228" s="6" t="s">
        <v>611</v>
      </c>
      <c r="D228" s="7" t="s">
        <v>7</v>
      </c>
      <c r="F228">
        <v>2138598159</v>
      </c>
      <c r="G228" s="1" t="s">
        <v>143</v>
      </c>
      <c r="H228" s="1" t="s">
        <v>1308</v>
      </c>
      <c r="I228" s="1" t="s">
        <v>1087</v>
      </c>
      <c r="J228">
        <v>2834</v>
      </c>
      <c r="K228" s="1" t="str">
        <f>VLOOKUP(uslugi41315[[#This Row],[ozn]],$A$2:$D$410,2,FALSE)</f>
        <v>elcki</v>
      </c>
      <c r="L228" s="1">
        <f>IF(uslugi41315[[#This Row],[powiat]]="Konin",1,0)</f>
        <v>0</v>
      </c>
      <c r="M228" s="1" t="str">
        <f>VLOOKUP(uslugi41315[[#This Row],[NIP]],nip_firm61416[],2,FALSE)</f>
        <v>METALL</v>
      </c>
    </row>
    <row r="229" spans="1:13" x14ac:dyDescent="0.25">
      <c r="A229" s="2" t="s">
        <v>614</v>
      </c>
      <c r="B229" s="3" t="s">
        <v>615</v>
      </c>
      <c r="C229" s="3" t="s">
        <v>616</v>
      </c>
      <c r="D229" s="4" t="s">
        <v>7</v>
      </c>
      <c r="F229">
        <v>2625657803</v>
      </c>
      <c r="G229" s="1" t="s">
        <v>777</v>
      </c>
      <c r="H229" s="1" t="s">
        <v>1309</v>
      </c>
      <c r="I229" s="1" t="s">
        <v>1087</v>
      </c>
      <c r="J229">
        <v>1624</v>
      </c>
      <c r="K229" s="1" t="str">
        <f>VLOOKUP(uslugi41315[[#This Row],[ozn]],$A$2:$D$410,2,FALSE)</f>
        <v>Sosnowiec</v>
      </c>
      <c r="L229" s="1">
        <f>IF(uslugi41315[[#This Row],[powiat]]="Konin",1,0)</f>
        <v>0</v>
      </c>
      <c r="M229" s="1" t="str">
        <f>VLOOKUP(uslugi41315[[#This Row],[NIP]],nip_firm61416[],2,FALSE)</f>
        <v>SUWAL</v>
      </c>
    </row>
    <row r="230" spans="1:13" x14ac:dyDescent="0.25">
      <c r="A230" s="5" t="s">
        <v>617</v>
      </c>
      <c r="B230" s="6" t="s">
        <v>618</v>
      </c>
      <c r="C230" s="6" t="s">
        <v>619</v>
      </c>
      <c r="D230" s="7" t="s">
        <v>7</v>
      </c>
      <c r="F230">
        <v>1939065269</v>
      </c>
      <c r="G230" s="1" t="s">
        <v>636</v>
      </c>
      <c r="H230" s="1" t="s">
        <v>1310</v>
      </c>
      <c r="I230" s="1" t="s">
        <v>1081</v>
      </c>
      <c r="J230">
        <v>2574</v>
      </c>
      <c r="K230" s="1" t="str">
        <f>VLOOKUP(uslugi41315[[#This Row],[ozn]],$A$2:$D$410,2,FALSE)</f>
        <v>Poznan</v>
      </c>
      <c r="L230" s="1">
        <f>IF(uslugi41315[[#This Row],[powiat]]="Konin",1,0)</f>
        <v>0</v>
      </c>
      <c r="M230" s="1" t="str">
        <f>VLOOKUP(uslugi41315[[#This Row],[NIP]],nip_firm61416[],2,FALSE)</f>
        <v>KUSTMASZ</v>
      </c>
    </row>
    <row r="231" spans="1:13" x14ac:dyDescent="0.25">
      <c r="A231" s="2" t="s">
        <v>620</v>
      </c>
      <c r="B231" s="3" t="s">
        <v>621</v>
      </c>
      <c r="C231" s="3" t="s">
        <v>621</v>
      </c>
      <c r="D231" s="4" t="s">
        <v>22</v>
      </c>
      <c r="F231">
        <v>4326751508</v>
      </c>
      <c r="G231" s="1" t="s">
        <v>255</v>
      </c>
      <c r="H231" s="1" t="s">
        <v>1311</v>
      </c>
      <c r="I231" s="1" t="s">
        <v>1087</v>
      </c>
      <c r="J231">
        <v>1806</v>
      </c>
      <c r="K231" s="1" t="str">
        <f>VLOOKUP(uslugi41315[[#This Row],[ozn]],$A$2:$D$410,2,FALSE)</f>
        <v>jeleniogorski</v>
      </c>
      <c r="L231" s="1">
        <f>IF(uslugi41315[[#This Row],[powiat]]="Konin",1,0)</f>
        <v>0</v>
      </c>
      <c r="M231" s="1" t="str">
        <f>VLOOKUP(uslugi41315[[#This Row],[NIP]],nip_firm61416[],2,FALSE)</f>
        <v>WROCBUD2</v>
      </c>
    </row>
    <row r="232" spans="1:13" x14ac:dyDescent="0.25">
      <c r="A232" s="5" t="s">
        <v>622</v>
      </c>
      <c r="B232" s="6" t="s">
        <v>623</v>
      </c>
      <c r="C232" s="6" t="s">
        <v>621</v>
      </c>
      <c r="D232" s="7" t="s">
        <v>7</v>
      </c>
      <c r="F232">
        <v>2138598159</v>
      </c>
      <c r="G232" s="1" t="s">
        <v>143</v>
      </c>
      <c r="H232" s="1" t="s">
        <v>1312</v>
      </c>
      <c r="I232" s="1" t="s">
        <v>1087</v>
      </c>
      <c r="J232">
        <v>3204</v>
      </c>
      <c r="K232" s="1" t="str">
        <f>VLOOKUP(uslugi41315[[#This Row],[ozn]],$A$2:$D$410,2,FALSE)</f>
        <v>elcki</v>
      </c>
      <c r="L232" s="1">
        <f>IF(uslugi41315[[#This Row],[powiat]]="Konin",1,0)</f>
        <v>0</v>
      </c>
      <c r="M232" s="1" t="str">
        <f>VLOOKUP(uslugi41315[[#This Row],[NIP]],nip_firm61416[],2,FALSE)</f>
        <v>METALL</v>
      </c>
    </row>
    <row r="233" spans="1:13" x14ac:dyDescent="0.25">
      <c r="A233" s="2" t="s">
        <v>624</v>
      </c>
      <c r="B233" s="3" t="s">
        <v>625</v>
      </c>
      <c r="C233" s="3" t="s">
        <v>626</v>
      </c>
      <c r="D233" s="4" t="s">
        <v>7</v>
      </c>
      <c r="F233">
        <v>4779174699</v>
      </c>
      <c r="G233" s="1" t="s">
        <v>1003</v>
      </c>
      <c r="H233" s="1" t="s">
        <v>1313</v>
      </c>
      <c r="I233" s="1" t="s">
        <v>1087</v>
      </c>
      <c r="J233">
        <v>1618</v>
      </c>
      <c r="K233" s="1" t="str">
        <f>VLOOKUP(uslugi41315[[#This Row],[ozn]],$A$2:$D$410,2,FALSE)</f>
        <v>Wroclaw</v>
      </c>
      <c r="L233" s="1">
        <f>IF(uslugi41315[[#This Row],[powiat]]="Konin",1,0)</f>
        <v>0</v>
      </c>
      <c r="M233" s="1" t="str">
        <f>VLOOKUP(uslugi41315[[#This Row],[NIP]],nip_firm61416[],2,FALSE)</f>
        <v>FASO</v>
      </c>
    </row>
    <row r="234" spans="1:13" x14ac:dyDescent="0.25">
      <c r="A234" s="5" t="s">
        <v>627</v>
      </c>
      <c r="B234" s="6" t="s">
        <v>628</v>
      </c>
      <c r="C234" s="6" t="s">
        <v>629</v>
      </c>
      <c r="D234" s="7" t="s">
        <v>7</v>
      </c>
      <c r="F234">
        <v>3568004264</v>
      </c>
      <c r="G234" s="1" t="s">
        <v>428</v>
      </c>
      <c r="H234" s="1" t="s">
        <v>1314</v>
      </c>
      <c r="I234" s="1" t="s">
        <v>1087</v>
      </c>
      <c r="J234">
        <v>2720</v>
      </c>
      <c r="K234" s="1" t="str">
        <f>VLOOKUP(uslugi41315[[#This Row],[ozn]],$A$2:$D$410,2,FALSE)</f>
        <v>lubelski</v>
      </c>
      <c r="L234" s="1">
        <f>IF(uslugi41315[[#This Row],[powiat]]="Konin",1,0)</f>
        <v>0</v>
      </c>
      <c r="M234" s="1" t="str">
        <f>VLOOKUP(uslugi41315[[#This Row],[NIP]],nip_firm61416[],2,FALSE)</f>
        <v>MURATOR</v>
      </c>
    </row>
    <row r="235" spans="1:13" x14ac:dyDescent="0.25">
      <c r="A235" s="2" t="s">
        <v>630</v>
      </c>
      <c r="B235" s="3" t="s">
        <v>631</v>
      </c>
      <c r="C235" s="3" t="s">
        <v>632</v>
      </c>
      <c r="D235" s="4" t="s">
        <v>7</v>
      </c>
      <c r="F235">
        <v>5115061689</v>
      </c>
      <c r="G235" s="1" t="s">
        <v>704</v>
      </c>
      <c r="H235" s="1" t="s">
        <v>1315</v>
      </c>
      <c r="I235" s="1" t="s">
        <v>1087</v>
      </c>
      <c r="J235">
        <v>3192</v>
      </c>
      <c r="K235" s="1" t="str">
        <f>VLOOKUP(uslugi41315[[#This Row],[ozn]],$A$2:$D$410,2,FALSE)</f>
        <v>Ruda Slaska</v>
      </c>
      <c r="L235" s="1">
        <f>IF(uslugi41315[[#This Row],[powiat]]="Konin",1,0)</f>
        <v>0</v>
      </c>
      <c r="M235" s="1" t="str">
        <f>VLOOKUP(uslugi41315[[#This Row],[NIP]],nip_firm61416[],2,FALSE)</f>
        <v>BETON-STAL</v>
      </c>
    </row>
    <row r="236" spans="1:13" x14ac:dyDescent="0.25">
      <c r="A236" s="5" t="s">
        <v>633</v>
      </c>
      <c r="B236" s="6" t="s">
        <v>634</v>
      </c>
      <c r="C236" s="6" t="s">
        <v>635</v>
      </c>
      <c r="D236" s="7" t="s">
        <v>7</v>
      </c>
      <c r="F236">
        <v>1361555378</v>
      </c>
      <c r="G236" s="1" t="s">
        <v>1022</v>
      </c>
      <c r="H236" s="1" t="s">
        <v>1316</v>
      </c>
      <c r="I236" s="1" t="s">
        <v>1087</v>
      </c>
      <c r="J236">
        <v>2559</v>
      </c>
      <c r="K236" s="1" t="str">
        <f>VLOOKUP(uslugi41315[[#This Row],[ozn]],$A$2:$D$410,2,FALSE)</f>
        <v>Zabrze</v>
      </c>
      <c r="L236" s="1">
        <f>IF(uslugi41315[[#This Row],[powiat]]="Konin",1,0)</f>
        <v>0</v>
      </c>
      <c r="M236" s="1" t="str">
        <f>VLOOKUP(uslugi41315[[#This Row],[NIP]],nip_firm61416[],2,FALSE)</f>
        <v>OSTOPOL</v>
      </c>
    </row>
    <row r="237" spans="1:13" x14ac:dyDescent="0.25">
      <c r="A237" s="2" t="s">
        <v>636</v>
      </c>
      <c r="B237" s="3" t="s">
        <v>637</v>
      </c>
      <c r="C237" s="3" t="s">
        <v>637</v>
      </c>
      <c r="D237" s="4" t="s">
        <v>22</v>
      </c>
      <c r="F237">
        <v>3866883575</v>
      </c>
      <c r="G237" s="1" t="s">
        <v>434</v>
      </c>
      <c r="H237" s="1" t="s">
        <v>1317</v>
      </c>
      <c r="I237" s="1" t="s">
        <v>1081</v>
      </c>
      <c r="J237">
        <v>2145</v>
      </c>
      <c r="K237" s="1" t="str">
        <f>VLOOKUP(uslugi41315[[#This Row],[ozn]],$A$2:$D$410,2,FALSE)</f>
        <v>Lublin</v>
      </c>
      <c r="L237" s="1">
        <f>IF(uslugi41315[[#This Row],[powiat]]="Konin",1,0)</f>
        <v>0</v>
      </c>
      <c r="M237" s="1" t="str">
        <f>VLOOKUP(uslugi41315[[#This Row],[NIP]],nip_firm61416[],2,FALSE)</f>
        <v>KPICO</v>
      </c>
    </row>
    <row r="238" spans="1:13" x14ac:dyDescent="0.25">
      <c r="A238" s="5" t="s">
        <v>638</v>
      </c>
      <c r="B238" s="6" t="s">
        <v>639</v>
      </c>
      <c r="C238" s="6" t="s">
        <v>637</v>
      </c>
      <c r="D238" s="7" t="s">
        <v>7</v>
      </c>
      <c r="F238">
        <v>4761158900</v>
      </c>
      <c r="G238" s="1" t="s">
        <v>294</v>
      </c>
      <c r="H238" s="1" t="s">
        <v>1318</v>
      </c>
      <c r="I238" s="1" t="s">
        <v>1081</v>
      </c>
      <c r="J238">
        <v>2674</v>
      </c>
      <c r="K238" s="1" t="str">
        <f>VLOOKUP(uslugi41315[[#This Row],[ozn]],$A$2:$D$410,2,FALSE)</f>
        <v>kluczborski</v>
      </c>
      <c r="L238" s="1">
        <f>IF(uslugi41315[[#This Row],[powiat]]="Konin",1,0)</f>
        <v>0</v>
      </c>
      <c r="M238" s="1" t="str">
        <f>VLOOKUP(uslugi41315[[#This Row],[NIP]],nip_firm61416[],2,FALSE)</f>
        <v>WROCBUD3</v>
      </c>
    </row>
    <row r="239" spans="1:13" x14ac:dyDescent="0.25">
      <c r="A239" s="2" t="s">
        <v>640</v>
      </c>
      <c r="B239" s="3" t="s">
        <v>641</v>
      </c>
      <c r="C239" s="3" t="s">
        <v>642</v>
      </c>
      <c r="D239" s="4" t="s">
        <v>7</v>
      </c>
      <c r="F239">
        <v>4779174699</v>
      </c>
      <c r="G239" s="1" t="s">
        <v>1003</v>
      </c>
      <c r="H239" s="1" t="s">
        <v>1319</v>
      </c>
      <c r="I239" s="1" t="s">
        <v>1081</v>
      </c>
      <c r="J239">
        <v>2192</v>
      </c>
      <c r="K239" s="1" t="str">
        <f>VLOOKUP(uslugi41315[[#This Row],[ozn]],$A$2:$D$410,2,FALSE)</f>
        <v>Wroclaw</v>
      </c>
      <c r="L239" s="1">
        <f>IF(uslugi41315[[#This Row],[powiat]]="Konin",1,0)</f>
        <v>0</v>
      </c>
      <c r="M239" s="1" t="str">
        <f>VLOOKUP(uslugi41315[[#This Row],[NIP]],nip_firm61416[],2,FALSE)</f>
        <v>FASO</v>
      </c>
    </row>
    <row r="240" spans="1:13" x14ac:dyDescent="0.25">
      <c r="A240" s="5" t="s">
        <v>643</v>
      </c>
      <c r="B240" s="6" t="s">
        <v>644</v>
      </c>
      <c r="C240" s="6" t="s">
        <v>645</v>
      </c>
      <c r="D240" s="7" t="s">
        <v>7</v>
      </c>
      <c r="F240">
        <v>6727559092</v>
      </c>
      <c r="G240" s="1" t="s">
        <v>562</v>
      </c>
      <c r="H240" s="1" t="s">
        <v>1320</v>
      </c>
      <c r="I240" s="1" t="s">
        <v>1081</v>
      </c>
      <c r="J240">
        <v>2480</v>
      </c>
      <c r="K240" s="1" t="str">
        <f>VLOOKUP(uslugi41315[[#This Row],[ozn]],$A$2:$D$410,2,FALSE)</f>
        <v>opolski</v>
      </c>
      <c r="L240" s="1">
        <f>IF(uslugi41315[[#This Row],[powiat]]="Konin",1,0)</f>
        <v>0</v>
      </c>
      <c r="M240" s="1" t="str">
        <f>VLOOKUP(uslugi41315[[#This Row],[NIP]],nip_firm61416[],2,FALSE)</f>
        <v>ANDROPOL SP. Z. O. O.</v>
      </c>
    </row>
    <row r="241" spans="1:13" x14ac:dyDescent="0.25">
      <c r="A241" s="2" t="s">
        <v>646</v>
      </c>
      <c r="B241" s="3" t="s">
        <v>647</v>
      </c>
      <c r="C241" s="3" t="s">
        <v>648</v>
      </c>
      <c r="D241" s="4" t="s">
        <v>7</v>
      </c>
      <c r="F241">
        <v>4761158900</v>
      </c>
      <c r="G241" s="1" t="s">
        <v>29</v>
      </c>
      <c r="H241" s="1" t="s">
        <v>1321</v>
      </c>
      <c r="I241" s="1" t="s">
        <v>1087</v>
      </c>
      <c r="J241">
        <v>2578</v>
      </c>
      <c r="K241" s="1" t="str">
        <f>VLOOKUP(uslugi41315[[#This Row],[ozn]],$A$2:$D$410,2,FALSE)</f>
        <v>bialostocki</v>
      </c>
      <c r="L241" s="1">
        <f>IF(uslugi41315[[#This Row],[powiat]]="Konin",1,0)</f>
        <v>0</v>
      </c>
      <c r="M241" s="1" t="str">
        <f>VLOOKUP(uslugi41315[[#This Row],[NIP]],nip_firm61416[],2,FALSE)</f>
        <v>WROCBUD3</v>
      </c>
    </row>
    <row r="242" spans="1:13" x14ac:dyDescent="0.25">
      <c r="A242" s="5" t="s">
        <v>649</v>
      </c>
      <c r="B242" s="6" t="s">
        <v>650</v>
      </c>
      <c r="C242" s="6" t="s">
        <v>651</v>
      </c>
      <c r="D242" s="7" t="s">
        <v>7</v>
      </c>
      <c r="F242">
        <v>4761158900</v>
      </c>
      <c r="G242" s="1" t="s">
        <v>29</v>
      </c>
      <c r="H242" s="1" t="s">
        <v>1322</v>
      </c>
      <c r="I242" s="1" t="s">
        <v>1087</v>
      </c>
      <c r="J242">
        <v>1774</v>
      </c>
      <c r="K242" s="1" t="str">
        <f>VLOOKUP(uslugi41315[[#This Row],[ozn]],$A$2:$D$410,2,FALSE)</f>
        <v>bialostocki</v>
      </c>
      <c r="L242" s="1">
        <f>IF(uslugi41315[[#This Row],[powiat]]="Konin",1,0)</f>
        <v>0</v>
      </c>
      <c r="M242" s="1" t="str">
        <f>VLOOKUP(uslugi41315[[#This Row],[NIP]],nip_firm61416[],2,FALSE)</f>
        <v>WROCBUD3</v>
      </c>
    </row>
    <row r="243" spans="1:13" x14ac:dyDescent="0.25">
      <c r="A243" s="2" t="s">
        <v>652</v>
      </c>
      <c r="B243" s="3" t="s">
        <v>653</v>
      </c>
      <c r="C243" s="3" t="s">
        <v>654</v>
      </c>
      <c r="D243" s="4" t="s">
        <v>7</v>
      </c>
      <c r="F243">
        <v>2394072755</v>
      </c>
      <c r="G243" s="1" t="s">
        <v>1022</v>
      </c>
      <c r="H243" s="1" t="s">
        <v>1323</v>
      </c>
      <c r="I243" s="1" t="s">
        <v>1087</v>
      </c>
      <c r="J243">
        <v>750</v>
      </c>
      <c r="K243" s="1" t="str">
        <f>VLOOKUP(uslugi41315[[#This Row],[ozn]],$A$2:$D$410,2,FALSE)</f>
        <v>Zabrze</v>
      </c>
      <c r="L243" s="1">
        <f>IF(uslugi41315[[#This Row],[powiat]]="Konin",1,0)</f>
        <v>0</v>
      </c>
      <c r="M243" s="1" t="str">
        <f>VLOOKUP(uslugi41315[[#This Row],[NIP]],nip_firm61416[],2,FALSE)</f>
        <v>ELINK</v>
      </c>
    </row>
    <row r="244" spans="1:13" x14ac:dyDescent="0.25">
      <c r="A244" s="5" t="s">
        <v>655</v>
      </c>
      <c r="B244" s="6" t="s">
        <v>654</v>
      </c>
      <c r="C244" s="6" t="s">
        <v>654</v>
      </c>
      <c r="D244" s="7" t="s">
        <v>22</v>
      </c>
      <c r="F244">
        <v>1939065269</v>
      </c>
      <c r="G244" s="1" t="s">
        <v>636</v>
      </c>
      <c r="H244" s="1" t="s">
        <v>1324</v>
      </c>
      <c r="I244" s="1" t="s">
        <v>1081</v>
      </c>
      <c r="J244">
        <v>2562</v>
      </c>
      <c r="K244" s="1" t="str">
        <f>VLOOKUP(uslugi41315[[#This Row],[ozn]],$A$2:$D$410,2,FALSE)</f>
        <v>Poznan</v>
      </c>
      <c r="L244" s="1">
        <f>IF(uslugi41315[[#This Row],[powiat]]="Konin",1,0)</f>
        <v>0</v>
      </c>
      <c r="M244" s="1" t="str">
        <f>VLOOKUP(uslugi41315[[#This Row],[NIP]],nip_firm61416[],2,FALSE)</f>
        <v>KUSTMASZ</v>
      </c>
    </row>
    <row r="245" spans="1:13" x14ac:dyDescent="0.25">
      <c r="A245" s="2" t="s">
        <v>656</v>
      </c>
      <c r="B245" s="3" t="s">
        <v>657</v>
      </c>
      <c r="C245" s="3" t="s">
        <v>658</v>
      </c>
      <c r="D245" s="4" t="s">
        <v>7</v>
      </c>
      <c r="F245">
        <v>3114182744</v>
      </c>
      <c r="G245" s="1" t="s">
        <v>1022</v>
      </c>
      <c r="H245" s="1" t="s">
        <v>1325</v>
      </c>
      <c r="I245" s="1" t="s">
        <v>1081</v>
      </c>
      <c r="J245">
        <v>1959</v>
      </c>
      <c r="K245" s="1" t="str">
        <f>VLOOKUP(uslugi41315[[#This Row],[ozn]],$A$2:$D$410,2,FALSE)</f>
        <v>Zabrze</v>
      </c>
      <c r="L245" s="1">
        <f>IF(uslugi41315[[#This Row],[powiat]]="Konin",1,0)</f>
        <v>0</v>
      </c>
      <c r="M245" s="1" t="str">
        <f>VLOOKUP(uslugi41315[[#This Row],[NIP]],nip_firm61416[],2,FALSE)</f>
        <v>SZCZEBRZESZYN</v>
      </c>
    </row>
    <row r="246" spans="1:13" x14ac:dyDescent="0.25">
      <c r="A246" s="5" t="s">
        <v>659</v>
      </c>
      <c r="B246" s="6" t="s">
        <v>660</v>
      </c>
      <c r="C246" s="6" t="s">
        <v>661</v>
      </c>
      <c r="D246" s="7" t="s">
        <v>7</v>
      </c>
      <c r="F246">
        <v>4326751508</v>
      </c>
      <c r="G246" s="1" t="s">
        <v>405</v>
      </c>
      <c r="H246" s="1" t="s">
        <v>1326</v>
      </c>
      <c r="I246" s="1" t="s">
        <v>1081</v>
      </c>
      <c r="J246">
        <v>2624</v>
      </c>
      <c r="K246" s="1" t="str">
        <f>VLOOKUP(uslugi41315[[#This Row],[ozn]],$A$2:$D$410,2,FALSE)</f>
        <v>Lodz</v>
      </c>
      <c r="L246" s="1">
        <f>IF(uslugi41315[[#This Row],[powiat]]="Konin",1,0)</f>
        <v>0</v>
      </c>
      <c r="M246" s="1" t="str">
        <f>VLOOKUP(uslugi41315[[#This Row],[NIP]],nip_firm61416[],2,FALSE)</f>
        <v>WROCBUD2</v>
      </c>
    </row>
    <row r="247" spans="1:13" x14ac:dyDescent="0.25">
      <c r="A247" s="2" t="s">
        <v>662</v>
      </c>
      <c r="B247" s="3" t="s">
        <v>663</v>
      </c>
      <c r="C247" s="3" t="s">
        <v>664</v>
      </c>
      <c r="D247" s="4" t="s">
        <v>7</v>
      </c>
      <c r="F247">
        <v>4326751508</v>
      </c>
      <c r="G247" s="1" t="s">
        <v>255</v>
      </c>
      <c r="H247" s="1" t="s">
        <v>1327</v>
      </c>
      <c r="I247" s="1" t="s">
        <v>1087</v>
      </c>
      <c r="J247">
        <v>2760</v>
      </c>
      <c r="K247" s="1" t="str">
        <f>VLOOKUP(uslugi41315[[#This Row],[ozn]],$A$2:$D$410,2,FALSE)</f>
        <v>jeleniogorski</v>
      </c>
      <c r="L247" s="1">
        <f>IF(uslugi41315[[#This Row],[powiat]]="Konin",1,0)</f>
        <v>0</v>
      </c>
      <c r="M247" s="1" t="str">
        <f>VLOOKUP(uslugi41315[[#This Row],[NIP]],nip_firm61416[],2,FALSE)</f>
        <v>WROCBUD2</v>
      </c>
    </row>
    <row r="248" spans="1:13" x14ac:dyDescent="0.25">
      <c r="A248" s="5" t="s">
        <v>665</v>
      </c>
      <c r="B248" s="6" t="s">
        <v>666</v>
      </c>
      <c r="C248" s="6" t="s">
        <v>667</v>
      </c>
      <c r="D248" s="7" t="s">
        <v>7</v>
      </c>
      <c r="F248">
        <v>3568004264</v>
      </c>
      <c r="G248" s="1" t="s">
        <v>428</v>
      </c>
      <c r="H248" s="1" t="s">
        <v>1328</v>
      </c>
      <c r="I248" s="1" t="s">
        <v>1081</v>
      </c>
      <c r="J248">
        <v>2404</v>
      </c>
      <c r="K248" s="1" t="str">
        <f>VLOOKUP(uslugi41315[[#This Row],[ozn]],$A$2:$D$410,2,FALSE)</f>
        <v>lubelski</v>
      </c>
      <c r="L248" s="1">
        <f>IF(uslugi41315[[#This Row],[powiat]]="Konin",1,0)</f>
        <v>0</v>
      </c>
      <c r="M248" s="1" t="str">
        <f>VLOOKUP(uslugi41315[[#This Row],[NIP]],nip_firm61416[],2,FALSE)</f>
        <v>MURATOR</v>
      </c>
    </row>
    <row r="249" spans="1:13" x14ac:dyDescent="0.25">
      <c r="A249" s="2" t="s">
        <v>668</v>
      </c>
      <c r="B249" s="3" t="s">
        <v>669</v>
      </c>
      <c r="C249" s="3" t="s">
        <v>670</v>
      </c>
      <c r="D249" s="4" t="s">
        <v>7</v>
      </c>
      <c r="F249">
        <v>1278408463</v>
      </c>
      <c r="G249" s="1" t="s">
        <v>314</v>
      </c>
      <c r="H249" s="1" t="s">
        <v>1329</v>
      </c>
      <c r="I249" s="1" t="s">
        <v>1081</v>
      </c>
      <c r="J249">
        <v>2328</v>
      </c>
      <c r="K249" s="1" t="str">
        <f>VLOOKUP(uslugi41315[[#This Row],[ozn]],$A$2:$D$410,2,FALSE)</f>
        <v>Konin</v>
      </c>
      <c r="L249" s="1">
        <f>IF(uslugi41315[[#This Row],[powiat]]="Konin",1,0)</f>
        <v>1</v>
      </c>
      <c r="M249" s="1" t="str">
        <f>VLOOKUP(uslugi41315[[#This Row],[NIP]],nip_firm61416[],2,FALSE)</f>
        <v>REFAMUR</v>
      </c>
    </row>
    <row r="250" spans="1:13" x14ac:dyDescent="0.25">
      <c r="A250" s="5" t="s">
        <v>671</v>
      </c>
      <c r="B250" s="6" t="s">
        <v>672</v>
      </c>
      <c r="C250" s="6" t="s">
        <v>673</v>
      </c>
      <c r="D250" s="7" t="s">
        <v>7</v>
      </c>
      <c r="F250">
        <v>5185759244</v>
      </c>
      <c r="G250" s="1" t="s">
        <v>1022</v>
      </c>
      <c r="H250" s="1" t="s">
        <v>1330</v>
      </c>
      <c r="I250" s="1" t="s">
        <v>1087</v>
      </c>
      <c r="J250">
        <v>2610</v>
      </c>
      <c r="K250" s="1" t="str">
        <f>VLOOKUP(uslugi41315[[#This Row],[ozn]],$A$2:$D$410,2,FALSE)</f>
        <v>Zabrze</v>
      </c>
      <c r="L250" s="1">
        <f>IF(uslugi41315[[#This Row],[powiat]]="Konin",1,0)</f>
        <v>0</v>
      </c>
      <c r="M250" s="1" t="str">
        <f>VLOOKUP(uslugi41315[[#This Row],[NIP]],nip_firm61416[],2,FALSE)</f>
        <v>BYTOM1</v>
      </c>
    </row>
    <row r="251" spans="1:13" x14ac:dyDescent="0.25">
      <c r="A251" s="2" t="s">
        <v>674</v>
      </c>
      <c r="B251" s="3" t="s">
        <v>675</v>
      </c>
      <c r="C251" s="3" t="s">
        <v>676</v>
      </c>
      <c r="D251" s="4" t="s">
        <v>7</v>
      </c>
      <c r="F251">
        <v>4761158900</v>
      </c>
      <c r="G251" s="1" t="s">
        <v>29</v>
      </c>
      <c r="H251" s="1" t="s">
        <v>1331</v>
      </c>
      <c r="I251" s="1" t="s">
        <v>1081</v>
      </c>
      <c r="J251">
        <v>2010</v>
      </c>
      <c r="K251" s="1" t="str">
        <f>VLOOKUP(uslugi41315[[#This Row],[ozn]],$A$2:$D$410,2,FALSE)</f>
        <v>bialostocki</v>
      </c>
      <c r="L251" s="1">
        <f>IF(uslugi41315[[#This Row],[powiat]]="Konin",1,0)</f>
        <v>0</v>
      </c>
      <c r="M251" s="1" t="str">
        <f>VLOOKUP(uslugi41315[[#This Row],[NIP]],nip_firm61416[],2,FALSE)</f>
        <v>WROCBUD3</v>
      </c>
    </row>
    <row r="252" spans="1:13" x14ac:dyDescent="0.25">
      <c r="A252" s="5" t="s">
        <v>677</v>
      </c>
      <c r="B252" s="6" t="s">
        <v>678</v>
      </c>
      <c r="C252" s="6" t="s">
        <v>679</v>
      </c>
      <c r="D252" s="7" t="s">
        <v>7</v>
      </c>
      <c r="F252">
        <v>4326751508</v>
      </c>
      <c r="G252" s="1" t="s">
        <v>386</v>
      </c>
      <c r="H252" s="1" t="s">
        <v>1332</v>
      </c>
      <c r="I252" s="1" t="s">
        <v>1081</v>
      </c>
      <c r="J252">
        <v>2196</v>
      </c>
      <c r="K252" s="1" t="str">
        <f>VLOOKUP(uslugi41315[[#This Row],[ozn]],$A$2:$D$410,2,FALSE)</f>
        <v>Leszno</v>
      </c>
      <c r="L252" s="1">
        <f>IF(uslugi41315[[#This Row],[powiat]]="Konin",1,0)</f>
        <v>0</v>
      </c>
      <c r="M252" s="1" t="str">
        <f>VLOOKUP(uslugi41315[[#This Row],[NIP]],nip_firm61416[],2,FALSE)</f>
        <v>WROCBUD2</v>
      </c>
    </row>
    <row r="253" spans="1:13" x14ac:dyDescent="0.25">
      <c r="A253" s="2" t="s">
        <v>680</v>
      </c>
      <c r="B253" s="3" t="s">
        <v>681</v>
      </c>
      <c r="C253" s="3" t="s">
        <v>681</v>
      </c>
      <c r="D253" s="4" t="s">
        <v>22</v>
      </c>
      <c r="F253">
        <v>6758177505</v>
      </c>
      <c r="G253" s="1" t="s">
        <v>562</v>
      </c>
      <c r="H253" s="1" t="s">
        <v>1333</v>
      </c>
      <c r="I253" s="1" t="s">
        <v>1087</v>
      </c>
      <c r="J253">
        <v>2095</v>
      </c>
      <c r="K253" s="1" t="str">
        <f>VLOOKUP(uslugi41315[[#This Row],[ozn]],$A$2:$D$410,2,FALSE)</f>
        <v>opolski</v>
      </c>
      <c r="L253" s="1">
        <f>IF(uslugi41315[[#This Row],[powiat]]="Konin",1,0)</f>
        <v>0</v>
      </c>
      <c r="M253" s="1" t="str">
        <f>VLOOKUP(uslugi41315[[#This Row],[NIP]],nip_firm61416[],2,FALSE)</f>
        <v>WERTIX</v>
      </c>
    </row>
    <row r="254" spans="1:13" x14ac:dyDescent="0.25">
      <c r="A254" s="5" t="s">
        <v>682</v>
      </c>
      <c r="B254" s="6" t="s">
        <v>683</v>
      </c>
      <c r="C254" s="6" t="s">
        <v>681</v>
      </c>
      <c r="D254" s="7" t="s">
        <v>7</v>
      </c>
      <c r="F254">
        <v>1617995032</v>
      </c>
      <c r="G254" s="1" t="s">
        <v>892</v>
      </c>
      <c r="H254" s="1" t="s">
        <v>1334</v>
      </c>
      <c r="I254" s="1" t="s">
        <v>1081</v>
      </c>
      <c r="J254">
        <v>1899</v>
      </c>
      <c r="K254" s="1" t="str">
        <f>VLOOKUP(uslugi41315[[#This Row],[ozn]],$A$2:$D$410,2,FALSE)</f>
        <v>turecki</v>
      </c>
      <c r="L254" s="1">
        <f>IF(uslugi41315[[#This Row],[powiat]]="Konin",1,0)</f>
        <v>0</v>
      </c>
      <c r="M254" s="1" t="str">
        <f>VLOOKUP(uslugi41315[[#This Row],[NIP]],nip_firm61416[],2,FALSE)</f>
        <v>RENOWATOR</v>
      </c>
    </row>
    <row r="255" spans="1:13" x14ac:dyDescent="0.25">
      <c r="A255" s="2" t="s">
        <v>684</v>
      </c>
      <c r="B255" s="3" t="s">
        <v>685</v>
      </c>
      <c r="C255" s="3" t="s">
        <v>686</v>
      </c>
      <c r="D255" s="4" t="s">
        <v>7</v>
      </c>
      <c r="F255">
        <v>1433397952</v>
      </c>
      <c r="G255" s="1" t="s">
        <v>314</v>
      </c>
      <c r="H255" s="1" t="s">
        <v>1335</v>
      </c>
      <c r="I255" s="1" t="s">
        <v>1087</v>
      </c>
      <c r="J255">
        <v>2180</v>
      </c>
      <c r="K255" s="1" t="str">
        <f>VLOOKUP(uslugi41315[[#This Row],[ozn]],$A$2:$D$410,2,FALSE)</f>
        <v>Konin</v>
      </c>
      <c r="L255" s="1">
        <f>IF(uslugi41315[[#This Row],[powiat]]="Konin",1,0)</f>
        <v>1</v>
      </c>
      <c r="M255" s="1" t="str">
        <f>VLOOKUP(uslugi41315[[#This Row],[NIP]],nip_firm61416[],2,FALSE)</f>
        <v>BARTEX</v>
      </c>
    </row>
    <row r="256" spans="1:13" x14ac:dyDescent="0.25">
      <c r="A256" s="5" t="s">
        <v>687</v>
      </c>
      <c r="B256" s="6" t="s">
        <v>688</v>
      </c>
      <c r="C256" s="6" t="s">
        <v>689</v>
      </c>
      <c r="D256" s="7" t="s">
        <v>7</v>
      </c>
      <c r="F256">
        <v>5115061689</v>
      </c>
      <c r="G256" s="1" t="s">
        <v>704</v>
      </c>
      <c r="H256" s="1" t="s">
        <v>1336</v>
      </c>
      <c r="I256" s="1" t="s">
        <v>1087</v>
      </c>
      <c r="J256">
        <v>1864</v>
      </c>
      <c r="K256" s="1" t="str">
        <f>VLOOKUP(uslugi41315[[#This Row],[ozn]],$A$2:$D$410,2,FALSE)</f>
        <v>Ruda Slaska</v>
      </c>
      <c r="L256" s="1">
        <f>IF(uslugi41315[[#This Row],[powiat]]="Konin",1,0)</f>
        <v>0</v>
      </c>
      <c r="M256" s="1" t="str">
        <f>VLOOKUP(uslugi41315[[#This Row],[NIP]],nip_firm61416[],2,FALSE)</f>
        <v>BETON-STAL</v>
      </c>
    </row>
    <row r="257" spans="1:13" x14ac:dyDescent="0.25">
      <c r="A257" s="2" t="s">
        <v>690</v>
      </c>
      <c r="B257" s="3" t="s">
        <v>691</v>
      </c>
      <c r="C257" s="3" t="s">
        <v>692</v>
      </c>
      <c r="D257" s="4" t="s">
        <v>7</v>
      </c>
      <c r="F257">
        <v>4761158900</v>
      </c>
      <c r="G257" s="1" t="s">
        <v>29</v>
      </c>
      <c r="H257" s="1" t="s">
        <v>1337</v>
      </c>
      <c r="I257" s="1" t="s">
        <v>1087</v>
      </c>
      <c r="J257">
        <v>2172</v>
      </c>
      <c r="K257" s="1" t="str">
        <f>VLOOKUP(uslugi41315[[#This Row],[ozn]],$A$2:$D$410,2,FALSE)</f>
        <v>bialostocki</v>
      </c>
      <c r="L257" s="1">
        <f>IF(uslugi41315[[#This Row],[powiat]]="Konin",1,0)</f>
        <v>0</v>
      </c>
      <c r="M257" s="1" t="str">
        <f>VLOOKUP(uslugi41315[[#This Row],[NIP]],nip_firm61416[],2,FALSE)</f>
        <v>WROCBUD3</v>
      </c>
    </row>
    <row r="258" spans="1:13" x14ac:dyDescent="0.25">
      <c r="A258" s="5" t="s">
        <v>693</v>
      </c>
      <c r="B258" s="6" t="s">
        <v>694</v>
      </c>
      <c r="C258" s="6" t="s">
        <v>695</v>
      </c>
      <c r="D258" s="7" t="s">
        <v>7</v>
      </c>
      <c r="F258">
        <v>4761158900</v>
      </c>
      <c r="G258" s="1" t="s">
        <v>29</v>
      </c>
      <c r="H258" s="1" t="s">
        <v>1338</v>
      </c>
      <c r="I258" s="1" t="s">
        <v>1081</v>
      </c>
      <c r="J258">
        <v>1950</v>
      </c>
      <c r="K258" s="1" t="str">
        <f>VLOOKUP(uslugi41315[[#This Row],[ozn]],$A$2:$D$410,2,FALSE)</f>
        <v>bialostocki</v>
      </c>
      <c r="L258" s="1">
        <f>IF(uslugi41315[[#This Row],[powiat]]="Konin",1,0)</f>
        <v>0</v>
      </c>
      <c r="M258" s="1" t="str">
        <f>VLOOKUP(uslugi41315[[#This Row],[NIP]],nip_firm61416[],2,FALSE)</f>
        <v>WROCBUD3</v>
      </c>
    </row>
    <row r="259" spans="1:13" x14ac:dyDescent="0.25">
      <c r="A259" s="2" t="s">
        <v>696</v>
      </c>
      <c r="B259" s="3" t="s">
        <v>697</v>
      </c>
      <c r="C259" s="3" t="s">
        <v>698</v>
      </c>
      <c r="D259" s="4" t="s">
        <v>7</v>
      </c>
      <c r="F259">
        <v>2119268767</v>
      </c>
      <c r="G259" s="1" t="s">
        <v>141</v>
      </c>
      <c r="H259" s="1" t="s">
        <v>1339</v>
      </c>
      <c r="I259" s="1" t="s">
        <v>1087</v>
      </c>
      <c r="J259">
        <v>2115</v>
      </c>
      <c r="K259" s="1" t="str">
        <f>VLOOKUP(uslugi41315[[#This Row],[ozn]],$A$2:$D$410,2,FALSE)</f>
        <v>elblaski</v>
      </c>
      <c r="L259" s="1">
        <f>IF(uslugi41315[[#This Row],[powiat]]="Konin",1,0)</f>
        <v>0</v>
      </c>
      <c r="M259" s="1" t="str">
        <f>VLOOKUP(uslugi41315[[#This Row],[NIP]],nip_firm61416[],2,FALSE)</f>
        <v>PETROLEUM</v>
      </c>
    </row>
    <row r="260" spans="1:13" x14ac:dyDescent="0.25">
      <c r="A260" s="5" t="s">
        <v>699</v>
      </c>
      <c r="B260" s="6" t="s">
        <v>700</v>
      </c>
      <c r="C260" s="6" t="s">
        <v>701</v>
      </c>
      <c r="D260" s="7" t="s">
        <v>7</v>
      </c>
      <c r="F260">
        <v>3866883575</v>
      </c>
      <c r="G260" s="1" t="s">
        <v>434</v>
      </c>
      <c r="H260" s="1" t="s">
        <v>1340</v>
      </c>
      <c r="I260" s="1" t="s">
        <v>1087</v>
      </c>
      <c r="J260">
        <v>2457</v>
      </c>
      <c r="K260" s="1" t="str">
        <f>VLOOKUP(uslugi41315[[#This Row],[ozn]],$A$2:$D$410,2,FALSE)</f>
        <v>Lublin</v>
      </c>
      <c r="L260" s="1">
        <f>IF(uslugi41315[[#This Row],[powiat]]="Konin",1,0)</f>
        <v>0</v>
      </c>
      <c r="M260" s="1" t="str">
        <f>VLOOKUP(uslugi41315[[#This Row],[NIP]],nip_firm61416[],2,FALSE)</f>
        <v>KPICO</v>
      </c>
    </row>
    <row r="261" spans="1:13" x14ac:dyDescent="0.25">
      <c r="A261" s="2" t="s">
        <v>702</v>
      </c>
      <c r="B261" s="3" t="s">
        <v>703</v>
      </c>
      <c r="C261" s="3" t="s">
        <v>703</v>
      </c>
      <c r="D261" s="4" t="s">
        <v>22</v>
      </c>
      <c r="F261">
        <v>2394072755</v>
      </c>
      <c r="G261" s="1" t="s">
        <v>1022</v>
      </c>
      <c r="H261" s="1" t="s">
        <v>1341</v>
      </c>
      <c r="I261" s="1" t="s">
        <v>1087</v>
      </c>
      <c r="J261">
        <v>2792</v>
      </c>
      <c r="K261" s="1" t="str">
        <f>VLOOKUP(uslugi41315[[#This Row],[ozn]],$A$2:$D$410,2,FALSE)</f>
        <v>Zabrze</v>
      </c>
      <c r="L261" s="1">
        <f>IF(uslugi41315[[#This Row],[powiat]]="Konin",1,0)</f>
        <v>0</v>
      </c>
      <c r="M261" s="1" t="str">
        <f>VLOOKUP(uslugi41315[[#This Row],[NIP]],nip_firm61416[],2,FALSE)</f>
        <v>ELINK</v>
      </c>
    </row>
    <row r="262" spans="1:13" x14ac:dyDescent="0.25">
      <c r="A262" s="5" t="s">
        <v>704</v>
      </c>
      <c r="B262" s="6" t="s">
        <v>703</v>
      </c>
      <c r="C262" s="6" t="s">
        <v>703</v>
      </c>
      <c r="D262" s="7" t="s">
        <v>22</v>
      </c>
      <c r="F262">
        <v>6758177505</v>
      </c>
      <c r="G262" s="1" t="s">
        <v>562</v>
      </c>
      <c r="H262" s="1" t="s">
        <v>1342</v>
      </c>
      <c r="I262" s="1" t="s">
        <v>1087</v>
      </c>
      <c r="J262">
        <v>2915</v>
      </c>
      <c r="K262" s="1" t="str">
        <f>VLOOKUP(uslugi41315[[#This Row],[ozn]],$A$2:$D$410,2,FALSE)</f>
        <v>opolski</v>
      </c>
      <c r="L262" s="1">
        <f>IF(uslugi41315[[#This Row],[powiat]]="Konin",1,0)</f>
        <v>0</v>
      </c>
      <c r="M262" s="1" t="str">
        <f>VLOOKUP(uslugi41315[[#This Row],[NIP]],nip_firm61416[],2,FALSE)</f>
        <v>WERTIX</v>
      </c>
    </row>
    <row r="263" spans="1:13" x14ac:dyDescent="0.25">
      <c r="A263" s="2" t="s">
        <v>705</v>
      </c>
      <c r="B263" s="3" t="s">
        <v>706</v>
      </c>
      <c r="C263" s="3" t="s">
        <v>707</v>
      </c>
      <c r="D263" s="4" t="s">
        <v>7</v>
      </c>
      <c r="F263">
        <v>4326751508</v>
      </c>
      <c r="G263" s="1" t="s">
        <v>386</v>
      </c>
      <c r="H263" s="1" t="s">
        <v>1343</v>
      </c>
      <c r="I263" s="1" t="s">
        <v>1081</v>
      </c>
      <c r="J263">
        <v>1515</v>
      </c>
      <c r="K263" s="1" t="str">
        <f>VLOOKUP(uslugi41315[[#This Row],[ozn]],$A$2:$D$410,2,FALSE)</f>
        <v>Leszno</v>
      </c>
      <c r="L263" s="1">
        <f>IF(uslugi41315[[#This Row],[powiat]]="Konin",1,0)</f>
        <v>0</v>
      </c>
      <c r="M263" s="1" t="str">
        <f>VLOOKUP(uslugi41315[[#This Row],[NIP]],nip_firm61416[],2,FALSE)</f>
        <v>WROCBUD2</v>
      </c>
    </row>
    <row r="264" spans="1:13" x14ac:dyDescent="0.25">
      <c r="A264" s="5" t="s">
        <v>708</v>
      </c>
      <c r="B264" s="6" t="s">
        <v>707</v>
      </c>
      <c r="C264" s="6" t="s">
        <v>707</v>
      </c>
      <c r="D264" s="7" t="s">
        <v>22</v>
      </c>
      <c r="F264">
        <v>2394072755</v>
      </c>
      <c r="G264" s="1" t="s">
        <v>1022</v>
      </c>
      <c r="H264" s="1" t="s">
        <v>1344</v>
      </c>
      <c r="I264" s="1" t="s">
        <v>1087</v>
      </c>
      <c r="J264">
        <v>2330</v>
      </c>
      <c r="K264" s="1" t="str">
        <f>VLOOKUP(uslugi41315[[#This Row],[ozn]],$A$2:$D$410,2,FALSE)</f>
        <v>Zabrze</v>
      </c>
      <c r="L264" s="1">
        <f>IF(uslugi41315[[#This Row],[powiat]]="Konin",1,0)</f>
        <v>0</v>
      </c>
      <c r="M264" s="1" t="str">
        <f>VLOOKUP(uslugi41315[[#This Row],[NIP]],nip_firm61416[],2,FALSE)</f>
        <v>ELINK</v>
      </c>
    </row>
    <row r="265" spans="1:13" x14ac:dyDescent="0.25">
      <c r="A265" s="2" t="s">
        <v>709</v>
      </c>
      <c r="B265" s="3" t="s">
        <v>710</v>
      </c>
      <c r="C265" s="3" t="s">
        <v>711</v>
      </c>
      <c r="D265" s="4" t="s">
        <v>7</v>
      </c>
      <c r="F265">
        <v>4326751508</v>
      </c>
      <c r="G265" s="1" t="s">
        <v>386</v>
      </c>
      <c r="H265" s="1" t="s">
        <v>1345</v>
      </c>
      <c r="I265" s="1" t="s">
        <v>1081</v>
      </c>
      <c r="J265">
        <v>2245</v>
      </c>
      <c r="K265" s="1" t="str">
        <f>VLOOKUP(uslugi41315[[#This Row],[ozn]],$A$2:$D$410,2,FALSE)</f>
        <v>Leszno</v>
      </c>
      <c r="L265" s="1">
        <f>IF(uslugi41315[[#This Row],[powiat]]="Konin",1,0)</f>
        <v>0</v>
      </c>
      <c r="M265" s="1" t="str">
        <f>VLOOKUP(uslugi41315[[#This Row],[NIP]],nip_firm61416[],2,FALSE)</f>
        <v>WROCBUD2</v>
      </c>
    </row>
    <row r="266" spans="1:13" x14ac:dyDescent="0.25">
      <c r="A266" s="5" t="s">
        <v>712</v>
      </c>
      <c r="B266" s="6" t="s">
        <v>713</v>
      </c>
      <c r="C266" s="6" t="s">
        <v>714</v>
      </c>
      <c r="D266" s="7" t="s">
        <v>7</v>
      </c>
      <c r="F266">
        <v>5341884086</v>
      </c>
      <c r="G266" s="1" t="s">
        <v>1022</v>
      </c>
      <c r="H266" s="1" t="s">
        <v>1346</v>
      </c>
      <c r="I266" s="1" t="s">
        <v>1081</v>
      </c>
      <c r="J266">
        <v>2880</v>
      </c>
      <c r="K266" s="1" t="str">
        <f>VLOOKUP(uslugi41315[[#This Row],[ozn]],$A$2:$D$410,2,FALSE)</f>
        <v>Zabrze</v>
      </c>
      <c r="L266" s="1">
        <f>IF(uslugi41315[[#This Row],[powiat]]="Konin",1,0)</f>
        <v>0</v>
      </c>
      <c r="M266" s="1" t="str">
        <f>VLOOKUP(uslugi41315[[#This Row],[NIP]],nip_firm61416[],2,FALSE)</f>
        <v>SENIN</v>
      </c>
    </row>
    <row r="267" spans="1:13" x14ac:dyDescent="0.25">
      <c r="A267" s="2" t="s">
        <v>715</v>
      </c>
      <c r="B267" s="3" t="s">
        <v>716</v>
      </c>
      <c r="C267" s="3" t="s">
        <v>716</v>
      </c>
      <c r="D267" s="4" t="s">
        <v>22</v>
      </c>
      <c r="F267">
        <v>1581329071</v>
      </c>
      <c r="G267" s="1" t="s">
        <v>1022</v>
      </c>
      <c r="H267" s="1" t="s">
        <v>1347</v>
      </c>
      <c r="I267" s="1" t="s">
        <v>1081</v>
      </c>
      <c r="J267">
        <v>2270</v>
      </c>
      <c r="K267" s="1" t="str">
        <f>VLOOKUP(uslugi41315[[#This Row],[ozn]],$A$2:$D$410,2,FALSE)</f>
        <v>Zabrze</v>
      </c>
      <c r="L267" s="1">
        <f>IF(uslugi41315[[#This Row],[powiat]]="Konin",1,0)</f>
        <v>0</v>
      </c>
      <c r="M267" s="1" t="str">
        <f>VLOOKUP(uslugi41315[[#This Row],[NIP]],nip_firm61416[],2,FALSE)</f>
        <v>WRZESNIA1</v>
      </c>
    </row>
    <row r="268" spans="1:13" x14ac:dyDescent="0.25">
      <c r="A268" s="5" t="s">
        <v>717</v>
      </c>
      <c r="B268" s="6" t="s">
        <v>718</v>
      </c>
      <c r="C268" s="6" t="s">
        <v>716</v>
      </c>
      <c r="D268" s="7" t="s">
        <v>7</v>
      </c>
      <c r="F268">
        <v>5341884086</v>
      </c>
      <c r="G268" s="1" t="s">
        <v>1022</v>
      </c>
      <c r="H268" s="1" t="s">
        <v>1348</v>
      </c>
      <c r="I268" s="1" t="s">
        <v>1081</v>
      </c>
      <c r="J268">
        <v>2748</v>
      </c>
      <c r="K268" s="1" t="str">
        <f>VLOOKUP(uslugi41315[[#This Row],[ozn]],$A$2:$D$410,2,FALSE)</f>
        <v>Zabrze</v>
      </c>
      <c r="L268" s="1">
        <f>IF(uslugi41315[[#This Row],[powiat]]="Konin",1,0)</f>
        <v>0</v>
      </c>
      <c r="M268" s="1" t="str">
        <f>VLOOKUP(uslugi41315[[#This Row],[NIP]],nip_firm61416[],2,FALSE)</f>
        <v>SENIN</v>
      </c>
    </row>
    <row r="269" spans="1:13" x14ac:dyDescent="0.25">
      <c r="A269" s="2" t="s">
        <v>719</v>
      </c>
      <c r="B269" s="3" t="s">
        <v>720</v>
      </c>
      <c r="C269" s="3" t="s">
        <v>721</v>
      </c>
      <c r="D269" s="4" t="s">
        <v>7</v>
      </c>
      <c r="F269">
        <v>4241680809</v>
      </c>
      <c r="G269" s="1" t="s">
        <v>1022</v>
      </c>
      <c r="H269" s="1" t="s">
        <v>1349</v>
      </c>
      <c r="I269" s="1" t="s">
        <v>1087</v>
      </c>
      <c r="J269">
        <v>1995</v>
      </c>
      <c r="K269" s="1" t="str">
        <f>VLOOKUP(uslugi41315[[#This Row],[ozn]],$A$2:$D$410,2,FALSE)</f>
        <v>Zabrze</v>
      </c>
      <c r="L269" s="1">
        <f>IF(uslugi41315[[#This Row],[powiat]]="Konin",1,0)</f>
        <v>0</v>
      </c>
      <c r="M269" s="1" t="str">
        <f>VLOOKUP(uslugi41315[[#This Row],[NIP]],nip_firm61416[],2,FALSE)</f>
        <v>WROCBUD4</v>
      </c>
    </row>
    <row r="270" spans="1:13" x14ac:dyDescent="0.25">
      <c r="A270" s="5" t="s">
        <v>722</v>
      </c>
      <c r="B270" s="6" t="s">
        <v>723</v>
      </c>
      <c r="C270" s="6" t="s">
        <v>724</v>
      </c>
      <c r="D270" s="7" t="s">
        <v>7</v>
      </c>
      <c r="F270">
        <v>5229945534</v>
      </c>
      <c r="G270" s="1" t="s">
        <v>1022</v>
      </c>
      <c r="H270" s="1" t="s">
        <v>1350</v>
      </c>
      <c r="I270" s="1" t="s">
        <v>1081</v>
      </c>
      <c r="J270">
        <v>3276</v>
      </c>
      <c r="K270" s="1" t="str">
        <f>VLOOKUP(uslugi41315[[#This Row],[ozn]],$A$2:$D$410,2,FALSE)</f>
        <v>Zabrze</v>
      </c>
      <c r="L270" s="1">
        <f>IF(uslugi41315[[#This Row],[powiat]]="Konin",1,0)</f>
        <v>0</v>
      </c>
      <c r="M270" s="1" t="str">
        <f>VLOOKUP(uslugi41315[[#This Row],[NIP]],nip_firm61416[],2,FALSE)</f>
        <v>TARNOR</v>
      </c>
    </row>
    <row r="271" spans="1:13" x14ac:dyDescent="0.25">
      <c r="A271" s="2" t="s">
        <v>725</v>
      </c>
      <c r="B271" s="3" t="s">
        <v>726</v>
      </c>
      <c r="C271" s="3" t="s">
        <v>727</v>
      </c>
      <c r="D271" s="4" t="s">
        <v>7</v>
      </c>
      <c r="F271">
        <v>2281651150</v>
      </c>
      <c r="G271" s="1" t="s">
        <v>552</v>
      </c>
      <c r="H271" s="1" t="s">
        <v>1351</v>
      </c>
      <c r="I271" s="1" t="s">
        <v>1081</v>
      </c>
      <c r="J271">
        <v>1622</v>
      </c>
      <c r="K271" s="1" t="str">
        <f>VLOOKUP(uslugi41315[[#This Row],[ozn]],$A$2:$D$410,2,FALSE)</f>
        <v>olsztynski</v>
      </c>
      <c r="L271" s="1">
        <f>IF(uslugi41315[[#This Row],[powiat]]="Konin",1,0)</f>
        <v>0</v>
      </c>
      <c r="M271" s="1" t="str">
        <f>VLOOKUP(uslugi41315[[#This Row],[NIP]],nip_firm61416[],2,FALSE)</f>
        <v>MAZUTEX</v>
      </c>
    </row>
    <row r="272" spans="1:13" x14ac:dyDescent="0.25">
      <c r="A272" s="5" t="s">
        <v>728</v>
      </c>
      <c r="B272" s="6" t="s">
        <v>729</v>
      </c>
      <c r="C272" s="6" t="s">
        <v>730</v>
      </c>
      <c r="D272" s="7" t="s">
        <v>7</v>
      </c>
      <c r="F272">
        <v>6727559092</v>
      </c>
      <c r="G272" s="1" t="s">
        <v>562</v>
      </c>
      <c r="H272" s="1" t="s">
        <v>1352</v>
      </c>
      <c r="I272" s="1" t="s">
        <v>1087</v>
      </c>
      <c r="J272">
        <v>2208</v>
      </c>
      <c r="K272" s="1" t="str">
        <f>VLOOKUP(uslugi41315[[#This Row],[ozn]],$A$2:$D$410,2,FALSE)</f>
        <v>opolski</v>
      </c>
      <c r="L272" s="1">
        <f>IF(uslugi41315[[#This Row],[powiat]]="Konin",1,0)</f>
        <v>0</v>
      </c>
      <c r="M272" s="1" t="str">
        <f>VLOOKUP(uslugi41315[[#This Row],[NIP]],nip_firm61416[],2,FALSE)</f>
        <v>ANDROPOL SP. Z. O. O.</v>
      </c>
    </row>
    <row r="273" spans="1:13" x14ac:dyDescent="0.25">
      <c r="A273" s="2" t="s">
        <v>731</v>
      </c>
      <c r="B273" s="3" t="s">
        <v>732</v>
      </c>
      <c r="C273" s="3" t="s">
        <v>732</v>
      </c>
      <c r="D273" s="4" t="s">
        <v>22</v>
      </c>
      <c r="F273">
        <v>3678947206</v>
      </c>
      <c r="G273" s="1" t="s">
        <v>527</v>
      </c>
      <c r="H273" s="1" t="s">
        <v>1353</v>
      </c>
      <c r="I273" s="1" t="s">
        <v>1081</v>
      </c>
      <c r="J273">
        <v>2065</v>
      </c>
      <c r="K273" s="1" t="str">
        <f>VLOOKUP(uslugi41315[[#This Row],[ozn]],$A$2:$D$410,2,FALSE)</f>
        <v>nyski</v>
      </c>
      <c r="L273" s="1">
        <f>IF(uslugi41315[[#This Row],[powiat]]="Konin",1,0)</f>
        <v>0</v>
      </c>
      <c r="M273" s="1" t="str">
        <f>VLOOKUP(uslugi41315[[#This Row],[NIP]],nip_firm61416[],2,FALSE)</f>
        <v>LUBLIN2</v>
      </c>
    </row>
    <row r="274" spans="1:13" x14ac:dyDescent="0.25">
      <c r="A274" s="5" t="s">
        <v>733</v>
      </c>
      <c r="B274" s="6" t="s">
        <v>734</v>
      </c>
      <c r="C274" s="6" t="s">
        <v>732</v>
      </c>
      <c r="D274" s="7" t="s">
        <v>7</v>
      </c>
      <c r="F274">
        <v>2119268767</v>
      </c>
      <c r="G274" s="1" t="s">
        <v>141</v>
      </c>
      <c r="H274" s="1" t="s">
        <v>1354</v>
      </c>
      <c r="I274" s="1" t="s">
        <v>1087</v>
      </c>
      <c r="J274">
        <v>1772</v>
      </c>
      <c r="K274" s="1" t="str">
        <f>VLOOKUP(uslugi41315[[#This Row],[ozn]],$A$2:$D$410,2,FALSE)</f>
        <v>elblaski</v>
      </c>
      <c r="L274" s="1">
        <f>IF(uslugi41315[[#This Row],[powiat]]="Konin",1,0)</f>
        <v>0</v>
      </c>
      <c r="M274" s="1" t="str">
        <f>VLOOKUP(uslugi41315[[#This Row],[NIP]],nip_firm61416[],2,FALSE)</f>
        <v>PETROLEUM</v>
      </c>
    </row>
    <row r="275" spans="1:13" x14ac:dyDescent="0.25">
      <c r="A275" s="2" t="s">
        <v>735</v>
      </c>
      <c r="B275" s="3" t="s">
        <v>736</v>
      </c>
      <c r="C275" s="3" t="s">
        <v>736</v>
      </c>
      <c r="D275" s="4" t="s">
        <v>22</v>
      </c>
      <c r="F275">
        <v>3568004264</v>
      </c>
      <c r="G275" s="1" t="s">
        <v>428</v>
      </c>
      <c r="H275" s="1" t="s">
        <v>1355</v>
      </c>
      <c r="I275" s="1" t="s">
        <v>1087</v>
      </c>
      <c r="J275">
        <v>2175</v>
      </c>
      <c r="K275" s="1" t="str">
        <f>VLOOKUP(uslugi41315[[#This Row],[ozn]],$A$2:$D$410,2,FALSE)</f>
        <v>lubelski</v>
      </c>
      <c r="L275" s="1">
        <f>IF(uslugi41315[[#This Row],[powiat]]="Konin",1,0)</f>
        <v>0</v>
      </c>
      <c r="M275" s="1" t="str">
        <f>VLOOKUP(uslugi41315[[#This Row],[NIP]],nip_firm61416[],2,FALSE)</f>
        <v>MURATOR</v>
      </c>
    </row>
    <row r="276" spans="1:13" x14ac:dyDescent="0.25">
      <c r="A276" s="5" t="s">
        <v>737</v>
      </c>
      <c r="B276" s="6" t="s">
        <v>738</v>
      </c>
      <c r="C276" s="6" t="s">
        <v>739</v>
      </c>
      <c r="D276" s="7" t="s">
        <v>7</v>
      </c>
      <c r="F276">
        <v>4326751508</v>
      </c>
      <c r="G276" s="1" t="s">
        <v>255</v>
      </c>
      <c r="H276" s="1" t="s">
        <v>1356</v>
      </c>
      <c r="I276" s="1" t="s">
        <v>1087</v>
      </c>
      <c r="J276">
        <v>2958</v>
      </c>
      <c r="K276" s="1" t="str">
        <f>VLOOKUP(uslugi41315[[#This Row],[ozn]],$A$2:$D$410,2,FALSE)</f>
        <v>jeleniogorski</v>
      </c>
      <c r="L276" s="1">
        <f>IF(uslugi41315[[#This Row],[powiat]]="Konin",1,0)</f>
        <v>0</v>
      </c>
      <c r="M276" s="1" t="str">
        <f>VLOOKUP(uslugi41315[[#This Row],[NIP]],nip_firm61416[],2,FALSE)</f>
        <v>WROCBUD2</v>
      </c>
    </row>
    <row r="277" spans="1:13" x14ac:dyDescent="0.25">
      <c r="A277" s="2" t="s">
        <v>740</v>
      </c>
      <c r="B277" s="3" t="s">
        <v>741</v>
      </c>
      <c r="C277" s="3" t="s">
        <v>742</v>
      </c>
      <c r="D277" s="4" t="s">
        <v>7</v>
      </c>
      <c r="F277">
        <v>4796841112</v>
      </c>
      <c r="G277" s="1" t="s">
        <v>533</v>
      </c>
      <c r="H277" s="1" t="s">
        <v>1357</v>
      </c>
      <c r="I277" s="1" t="s">
        <v>1081</v>
      </c>
      <c r="J277">
        <v>2792</v>
      </c>
      <c r="K277" s="1" t="str">
        <f>VLOOKUP(uslugi41315[[#This Row],[ozn]],$A$2:$D$410,2,FALSE)</f>
        <v>olawski</v>
      </c>
      <c r="L277" s="1">
        <f>IF(uslugi41315[[#This Row],[powiat]]="Konin",1,0)</f>
        <v>0</v>
      </c>
      <c r="M277" s="1" t="str">
        <f>VLOOKUP(uslugi41315[[#This Row],[NIP]],nip_firm61416[],2,FALSE)</f>
        <v>WARM S. A.</v>
      </c>
    </row>
    <row r="278" spans="1:13" x14ac:dyDescent="0.25">
      <c r="A278" s="5" t="s">
        <v>743</v>
      </c>
      <c r="B278" s="6" t="s">
        <v>744</v>
      </c>
      <c r="C278" s="6" t="s">
        <v>745</v>
      </c>
      <c r="D278" s="7" t="s">
        <v>7</v>
      </c>
      <c r="F278">
        <v>2138598159</v>
      </c>
      <c r="G278" s="1" t="s">
        <v>143</v>
      </c>
      <c r="H278" s="1" t="s">
        <v>1358</v>
      </c>
      <c r="I278" s="1" t="s">
        <v>1081</v>
      </c>
      <c r="J278">
        <v>2049</v>
      </c>
      <c r="K278" s="1" t="str">
        <f>VLOOKUP(uslugi41315[[#This Row],[ozn]],$A$2:$D$410,2,FALSE)</f>
        <v>elcki</v>
      </c>
      <c r="L278" s="1">
        <f>IF(uslugi41315[[#This Row],[powiat]]="Konin",1,0)</f>
        <v>0</v>
      </c>
      <c r="M278" s="1" t="str">
        <f>VLOOKUP(uslugi41315[[#This Row],[NIP]],nip_firm61416[],2,FALSE)</f>
        <v>METALL</v>
      </c>
    </row>
    <row r="279" spans="1:13" x14ac:dyDescent="0.25">
      <c r="A279" s="2" t="s">
        <v>746</v>
      </c>
      <c r="B279" s="3" t="s">
        <v>747</v>
      </c>
      <c r="C279" s="3" t="s">
        <v>748</v>
      </c>
      <c r="D279" s="4" t="s">
        <v>7</v>
      </c>
      <c r="F279">
        <v>1617995032</v>
      </c>
      <c r="G279" s="1" t="s">
        <v>892</v>
      </c>
      <c r="H279" s="1" t="s">
        <v>1359</v>
      </c>
      <c r="I279" s="1" t="s">
        <v>1087</v>
      </c>
      <c r="J279">
        <v>1946</v>
      </c>
      <c r="K279" s="1" t="str">
        <f>VLOOKUP(uslugi41315[[#This Row],[ozn]],$A$2:$D$410,2,FALSE)</f>
        <v>turecki</v>
      </c>
      <c r="L279" s="1">
        <f>IF(uslugi41315[[#This Row],[powiat]]="Konin",1,0)</f>
        <v>0</v>
      </c>
      <c r="M279" s="1" t="str">
        <f>VLOOKUP(uslugi41315[[#This Row],[NIP]],nip_firm61416[],2,FALSE)</f>
        <v>RENOWATOR</v>
      </c>
    </row>
    <row r="280" spans="1:13" x14ac:dyDescent="0.25">
      <c r="A280" s="5" t="s">
        <v>749</v>
      </c>
      <c r="B280" s="6" t="s">
        <v>750</v>
      </c>
      <c r="C280" s="6" t="s">
        <v>750</v>
      </c>
      <c r="D280" s="7" t="s">
        <v>22</v>
      </c>
      <c r="F280">
        <v>1278408463</v>
      </c>
      <c r="G280" s="1" t="s">
        <v>312</v>
      </c>
      <c r="H280" s="1" t="s">
        <v>1360</v>
      </c>
      <c r="I280" s="1" t="s">
        <v>1081</v>
      </c>
      <c r="J280">
        <v>2722</v>
      </c>
      <c r="K280" s="1" t="str">
        <f>VLOOKUP(uslugi41315[[#This Row],[ozn]],$A$2:$D$410,2,FALSE)</f>
        <v>Konin</v>
      </c>
      <c r="L280" s="1">
        <f>IF(uslugi41315[[#This Row],[powiat]]="Konin",1,0)</f>
        <v>1</v>
      </c>
      <c r="M280" s="1" t="str">
        <f>VLOOKUP(uslugi41315[[#This Row],[NIP]],nip_firm61416[],2,FALSE)</f>
        <v>REFAMUR</v>
      </c>
    </row>
    <row r="281" spans="1:13" x14ac:dyDescent="0.25">
      <c r="A281" s="2" t="s">
        <v>751</v>
      </c>
      <c r="B281" s="3" t="s">
        <v>752</v>
      </c>
      <c r="C281" s="3" t="s">
        <v>750</v>
      </c>
      <c r="D281" s="4" t="s">
        <v>7</v>
      </c>
      <c r="F281">
        <v>3345883725</v>
      </c>
      <c r="G281" s="1" t="s">
        <v>428</v>
      </c>
      <c r="H281" s="1" t="s">
        <v>1361</v>
      </c>
      <c r="I281" s="1" t="s">
        <v>1087</v>
      </c>
      <c r="J281">
        <v>2344</v>
      </c>
      <c r="K281" s="1" t="str">
        <f>VLOOKUP(uslugi41315[[#This Row],[ozn]],$A$2:$D$410,2,FALSE)</f>
        <v>lubelski</v>
      </c>
      <c r="L281" s="1">
        <f>IF(uslugi41315[[#This Row],[powiat]]="Konin",1,0)</f>
        <v>0</v>
      </c>
      <c r="M281" s="1" t="str">
        <f>VLOOKUP(uslugi41315[[#This Row],[NIP]],nip_firm61416[],2,FALSE)</f>
        <v>ZACH-MET</v>
      </c>
    </row>
    <row r="282" spans="1:13" x14ac:dyDescent="0.25">
      <c r="A282" s="5" t="s">
        <v>753</v>
      </c>
      <c r="B282" s="6" t="s">
        <v>754</v>
      </c>
      <c r="C282" s="6" t="s">
        <v>755</v>
      </c>
      <c r="D282" s="7" t="s">
        <v>7</v>
      </c>
      <c r="F282">
        <v>5528435390</v>
      </c>
      <c r="G282" s="1" t="s">
        <v>1022</v>
      </c>
      <c r="H282" s="1" t="s">
        <v>1362</v>
      </c>
      <c r="I282" s="1" t="s">
        <v>1087</v>
      </c>
      <c r="J282">
        <v>2465</v>
      </c>
      <c r="K282" s="1" t="str">
        <f>VLOOKUP(uslugi41315[[#This Row],[ozn]],$A$2:$D$410,2,FALSE)</f>
        <v>Zabrze</v>
      </c>
      <c r="L282" s="1">
        <f>IF(uslugi41315[[#This Row],[powiat]]="Konin",1,0)</f>
        <v>0</v>
      </c>
      <c r="M282" s="1" t="str">
        <f>VLOOKUP(uslugi41315[[#This Row],[NIP]],nip_firm61416[],2,FALSE)</f>
        <v>ZABER</v>
      </c>
    </row>
    <row r="283" spans="1:13" x14ac:dyDescent="0.25">
      <c r="A283" s="2" t="s">
        <v>756</v>
      </c>
      <c r="B283" s="3" t="s">
        <v>757</v>
      </c>
      <c r="C283" s="3" t="s">
        <v>758</v>
      </c>
      <c r="D283" s="4" t="s">
        <v>7</v>
      </c>
      <c r="F283">
        <v>3783578981</v>
      </c>
      <c r="G283" s="1" t="s">
        <v>386</v>
      </c>
      <c r="H283" s="1" t="s">
        <v>1363</v>
      </c>
      <c r="I283" s="1" t="s">
        <v>1087</v>
      </c>
      <c r="J283">
        <v>2174</v>
      </c>
      <c r="K283" s="1" t="str">
        <f>VLOOKUP(uslugi41315[[#This Row],[ozn]],$A$2:$D$410,2,FALSE)</f>
        <v>Leszno</v>
      </c>
      <c r="L283" s="1">
        <f>IF(uslugi41315[[#This Row],[powiat]]="Konin",1,0)</f>
        <v>0</v>
      </c>
      <c r="M283" s="1" t="str">
        <f>VLOOKUP(uslugi41315[[#This Row],[NIP]],nip_firm61416[],2,FALSE)</f>
        <v>LUBEX</v>
      </c>
    </row>
    <row r="284" spans="1:13" x14ac:dyDescent="0.25">
      <c r="A284" s="5" t="s">
        <v>759</v>
      </c>
      <c r="B284" s="6" t="s">
        <v>760</v>
      </c>
      <c r="C284" s="6" t="s">
        <v>761</v>
      </c>
      <c r="D284" s="7" t="s">
        <v>7</v>
      </c>
      <c r="F284">
        <v>4761158900</v>
      </c>
      <c r="G284" s="1" t="s">
        <v>29</v>
      </c>
      <c r="H284" s="1" t="s">
        <v>1364</v>
      </c>
      <c r="I284" s="1" t="s">
        <v>1081</v>
      </c>
      <c r="J284">
        <v>1812</v>
      </c>
      <c r="K284" s="1" t="str">
        <f>VLOOKUP(uslugi41315[[#This Row],[ozn]],$A$2:$D$410,2,FALSE)</f>
        <v>bialostocki</v>
      </c>
      <c r="L284" s="1">
        <f>IF(uslugi41315[[#This Row],[powiat]]="Konin",1,0)</f>
        <v>0</v>
      </c>
      <c r="M284" s="1" t="str">
        <f>VLOOKUP(uslugi41315[[#This Row],[NIP]],nip_firm61416[],2,FALSE)</f>
        <v>WROCBUD3</v>
      </c>
    </row>
    <row r="285" spans="1:13" x14ac:dyDescent="0.25">
      <c r="A285" s="2" t="s">
        <v>762</v>
      </c>
      <c r="B285" s="3" t="s">
        <v>763</v>
      </c>
      <c r="C285" s="3" t="s">
        <v>763</v>
      </c>
      <c r="D285" s="4" t="s">
        <v>22</v>
      </c>
      <c r="F285">
        <v>4715154852</v>
      </c>
      <c r="G285" s="1" t="s">
        <v>1003</v>
      </c>
      <c r="H285" s="1" t="s">
        <v>1365</v>
      </c>
      <c r="I285" s="1" t="s">
        <v>1081</v>
      </c>
      <c r="J285">
        <v>2800</v>
      </c>
      <c r="K285" s="1" t="str">
        <f>VLOOKUP(uslugi41315[[#This Row],[ozn]],$A$2:$D$410,2,FALSE)</f>
        <v>Wroclaw</v>
      </c>
      <c r="L285" s="1">
        <f>IF(uslugi41315[[#This Row],[powiat]]="Konin",1,0)</f>
        <v>0</v>
      </c>
      <c r="M285" s="1" t="str">
        <f>VLOOKUP(uslugi41315[[#This Row],[NIP]],nip_firm61416[],2,FALSE)</f>
        <v>NAFTO-GAZ</v>
      </c>
    </row>
    <row r="286" spans="1:13" x14ac:dyDescent="0.25">
      <c r="A286" s="5" t="s">
        <v>764</v>
      </c>
      <c r="B286" s="6" t="s">
        <v>765</v>
      </c>
      <c r="C286" s="6" t="s">
        <v>763</v>
      </c>
      <c r="D286" s="7" t="s">
        <v>7</v>
      </c>
      <c r="F286">
        <v>2581219876</v>
      </c>
      <c r="G286" s="1" t="s">
        <v>141</v>
      </c>
      <c r="H286" s="1" t="s">
        <v>1366</v>
      </c>
      <c r="I286" s="1" t="s">
        <v>1087</v>
      </c>
      <c r="J286">
        <v>2478</v>
      </c>
      <c r="K286" s="1" t="str">
        <f>VLOOKUP(uslugi41315[[#This Row],[ozn]],$A$2:$D$410,2,FALSE)</f>
        <v>elblaski</v>
      </c>
      <c r="L286" s="1">
        <f>IF(uslugi41315[[#This Row],[powiat]]="Konin",1,0)</f>
        <v>0</v>
      </c>
      <c r="M286" s="1" t="str">
        <f>VLOOKUP(uslugi41315[[#This Row],[NIP]],nip_firm61416[],2,FALSE)</f>
        <v>TECH-MASZ</v>
      </c>
    </row>
    <row r="287" spans="1:13" x14ac:dyDescent="0.25">
      <c r="A287" s="2" t="s">
        <v>766</v>
      </c>
      <c r="B287" s="3" t="s">
        <v>767</v>
      </c>
      <c r="C287" s="3" t="s">
        <v>768</v>
      </c>
      <c r="D287" s="4" t="s">
        <v>7</v>
      </c>
      <c r="F287">
        <v>2245871126</v>
      </c>
      <c r="G287" s="1" t="s">
        <v>73</v>
      </c>
      <c r="H287" s="1" t="s">
        <v>1367</v>
      </c>
      <c r="I287" s="1" t="s">
        <v>1081</v>
      </c>
      <c r="J287">
        <v>2562</v>
      </c>
      <c r="K287" s="1" t="str">
        <f>VLOOKUP(uslugi41315[[#This Row],[ozn]],$A$2:$D$410,2,FALSE)</f>
        <v>buski</v>
      </c>
      <c r="L287" s="1">
        <f>IF(uslugi41315[[#This Row],[powiat]]="Konin",1,0)</f>
        <v>0</v>
      </c>
      <c r="M287" s="1" t="str">
        <f>VLOOKUP(uslugi41315[[#This Row],[NIP]],nip_firm61416[],2,FALSE)</f>
        <v>OLSZTYN</v>
      </c>
    </row>
    <row r="288" spans="1:13" x14ac:dyDescent="0.25">
      <c r="A288" s="5" t="s">
        <v>769</v>
      </c>
      <c r="B288" s="6" t="s">
        <v>770</v>
      </c>
      <c r="C288" s="6" t="s">
        <v>771</v>
      </c>
      <c r="D288" s="7" t="s">
        <v>7</v>
      </c>
      <c r="F288">
        <v>6727559092</v>
      </c>
      <c r="G288" s="1" t="s">
        <v>562</v>
      </c>
      <c r="H288" s="1" t="s">
        <v>1368</v>
      </c>
      <c r="I288" s="1" t="s">
        <v>1087</v>
      </c>
      <c r="J288">
        <v>980</v>
      </c>
      <c r="K288" s="1" t="str">
        <f>VLOOKUP(uslugi41315[[#This Row],[ozn]],$A$2:$D$410,2,FALSE)</f>
        <v>opolski</v>
      </c>
      <c r="L288" s="1">
        <f>IF(uslugi41315[[#This Row],[powiat]]="Konin",1,0)</f>
        <v>0</v>
      </c>
      <c r="M288" s="1" t="str">
        <f>VLOOKUP(uslugi41315[[#This Row],[NIP]],nip_firm61416[],2,FALSE)</f>
        <v>ANDROPOL SP. Z. O. O.</v>
      </c>
    </row>
    <row r="289" spans="1:13" x14ac:dyDescent="0.25">
      <c r="A289" s="2" t="s">
        <v>772</v>
      </c>
      <c r="B289" s="3" t="s">
        <v>773</v>
      </c>
      <c r="C289" s="3" t="s">
        <v>774</v>
      </c>
      <c r="D289" s="4" t="s">
        <v>7</v>
      </c>
      <c r="F289">
        <v>1361555378</v>
      </c>
      <c r="G289" s="1" t="s">
        <v>1022</v>
      </c>
      <c r="H289" s="1" t="s">
        <v>1369</v>
      </c>
      <c r="I289" s="1" t="s">
        <v>1087</v>
      </c>
      <c r="J289">
        <v>2325</v>
      </c>
      <c r="K289" s="1" t="str">
        <f>VLOOKUP(uslugi41315[[#This Row],[ozn]],$A$2:$D$410,2,FALSE)</f>
        <v>Zabrze</v>
      </c>
      <c r="L289" s="1">
        <f>IF(uslugi41315[[#This Row],[powiat]]="Konin",1,0)</f>
        <v>0</v>
      </c>
      <c r="M289" s="1" t="str">
        <f>VLOOKUP(uslugi41315[[#This Row],[NIP]],nip_firm61416[],2,FALSE)</f>
        <v>OSTOPOL</v>
      </c>
    </row>
    <row r="290" spans="1:13" x14ac:dyDescent="0.25">
      <c r="A290" s="5" t="s">
        <v>775</v>
      </c>
      <c r="B290" s="6" t="s">
        <v>776</v>
      </c>
      <c r="C290" s="6" t="s">
        <v>776</v>
      </c>
      <c r="D290" s="7" t="s">
        <v>22</v>
      </c>
      <c r="F290">
        <v>5418968184</v>
      </c>
      <c r="G290" s="1" t="s">
        <v>1022</v>
      </c>
      <c r="H290" s="1" t="s">
        <v>1370</v>
      </c>
      <c r="I290" s="1" t="s">
        <v>1087</v>
      </c>
      <c r="J290">
        <v>1830</v>
      </c>
      <c r="K290" s="1" t="str">
        <f>VLOOKUP(uslugi41315[[#This Row],[ozn]],$A$2:$D$410,2,FALSE)</f>
        <v>Zabrze</v>
      </c>
      <c r="L290" s="1">
        <f>IF(uslugi41315[[#This Row],[powiat]]="Konin",1,0)</f>
        <v>0</v>
      </c>
      <c r="M290" s="1" t="str">
        <f>VLOOKUP(uslugi41315[[#This Row],[NIP]],nip_firm61416[],2,FALSE)</f>
        <v>SOSNEC</v>
      </c>
    </row>
    <row r="291" spans="1:13" x14ac:dyDescent="0.25">
      <c r="A291" s="2" t="s">
        <v>777</v>
      </c>
      <c r="B291" s="3" t="s">
        <v>778</v>
      </c>
      <c r="C291" s="3" t="s">
        <v>778</v>
      </c>
      <c r="D291" s="4" t="s">
        <v>22</v>
      </c>
      <c r="F291">
        <v>1165493421</v>
      </c>
      <c r="G291" s="1" t="s">
        <v>1022</v>
      </c>
      <c r="H291" s="1" t="s">
        <v>1371</v>
      </c>
      <c r="I291" s="1" t="s">
        <v>1081</v>
      </c>
      <c r="J291">
        <v>3122</v>
      </c>
      <c r="K291" s="1" t="str">
        <f>VLOOKUP(uslugi41315[[#This Row],[ozn]],$A$2:$D$410,2,FALSE)</f>
        <v>Zabrze</v>
      </c>
      <c r="L291" s="1">
        <f>IF(uslugi41315[[#This Row],[powiat]]="Konin",1,0)</f>
        <v>0</v>
      </c>
      <c r="M291" s="1" t="str">
        <f>VLOOKUP(uslugi41315[[#This Row],[NIP]],nip_firm61416[],2,FALSE)</f>
        <v>LESZNO</v>
      </c>
    </row>
    <row r="292" spans="1:13" x14ac:dyDescent="0.25">
      <c r="A292" s="5" t="s">
        <v>779</v>
      </c>
      <c r="B292" s="6" t="s">
        <v>780</v>
      </c>
      <c r="C292" s="6" t="s">
        <v>781</v>
      </c>
      <c r="D292" s="7" t="s">
        <v>7</v>
      </c>
      <c r="F292">
        <v>1433397952</v>
      </c>
      <c r="G292" s="1" t="s">
        <v>314</v>
      </c>
      <c r="H292" s="1" t="s">
        <v>1372</v>
      </c>
      <c r="I292" s="1" t="s">
        <v>1081</v>
      </c>
      <c r="J292">
        <v>2660</v>
      </c>
      <c r="K292" s="1" t="str">
        <f>VLOOKUP(uslugi41315[[#This Row],[ozn]],$A$2:$D$410,2,FALSE)</f>
        <v>Konin</v>
      </c>
      <c r="L292" s="1">
        <f>IF(uslugi41315[[#This Row],[powiat]]="Konin",1,0)</f>
        <v>1</v>
      </c>
      <c r="M292" s="1" t="str">
        <f>VLOOKUP(uslugi41315[[#This Row],[NIP]],nip_firm61416[],2,FALSE)</f>
        <v>BARTEX</v>
      </c>
    </row>
    <row r="293" spans="1:13" x14ac:dyDescent="0.25">
      <c r="A293" s="2" t="s">
        <v>782</v>
      </c>
      <c r="B293" s="3" t="s">
        <v>780</v>
      </c>
      <c r="C293" s="3" t="s">
        <v>783</v>
      </c>
      <c r="D293" s="4" t="s">
        <v>7</v>
      </c>
      <c r="F293">
        <v>6727559092</v>
      </c>
      <c r="G293" s="1" t="s">
        <v>864</v>
      </c>
      <c r="H293" s="1" t="s">
        <v>1373</v>
      </c>
      <c r="I293" s="1" t="s">
        <v>1081</v>
      </c>
      <c r="J293">
        <v>2822</v>
      </c>
      <c r="K293" s="1" t="str">
        <f>VLOOKUP(uslugi41315[[#This Row],[ozn]],$A$2:$D$410,2,FALSE)</f>
        <v>tarnogorski</v>
      </c>
      <c r="L293" s="1">
        <f>IF(uslugi41315[[#This Row],[powiat]]="Konin",1,0)</f>
        <v>0</v>
      </c>
      <c r="M293" s="1" t="str">
        <f>VLOOKUP(uslugi41315[[#This Row],[NIP]],nip_firm61416[],2,FALSE)</f>
        <v>ANDROPOL SP. Z. O. O.</v>
      </c>
    </row>
    <row r="294" spans="1:13" x14ac:dyDescent="0.25">
      <c r="A294" s="5" t="s">
        <v>784</v>
      </c>
      <c r="B294" s="6" t="s">
        <v>785</v>
      </c>
      <c r="C294" s="6" t="s">
        <v>786</v>
      </c>
      <c r="D294" s="7" t="s">
        <v>7</v>
      </c>
      <c r="F294">
        <v>5514533376</v>
      </c>
      <c r="G294" s="1" t="s">
        <v>255</v>
      </c>
      <c r="H294" s="1" t="s">
        <v>1374</v>
      </c>
      <c r="I294" s="1" t="s">
        <v>1081</v>
      </c>
      <c r="J294">
        <v>2895</v>
      </c>
      <c r="K294" s="1" t="str">
        <f>VLOOKUP(uslugi41315[[#This Row],[ozn]],$A$2:$D$410,2,FALSE)</f>
        <v>jeleniogorski</v>
      </c>
      <c r="L294" s="1">
        <f>IF(uslugi41315[[#This Row],[powiat]]="Konin",1,0)</f>
        <v>0</v>
      </c>
      <c r="M294" s="1" t="str">
        <f>VLOOKUP(uslugi41315[[#This Row],[NIP]],nip_firm61416[],2,FALSE)</f>
        <v>BYTOM2</v>
      </c>
    </row>
    <row r="295" spans="1:13" x14ac:dyDescent="0.25">
      <c r="A295" s="2" t="s">
        <v>787</v>
      </c>
      <c r="B295" s="3" t="s">
        <v>788</v>
      </c>
      <c r="C295" s="3" t="s">
        <v>789</v>
      </c>
      <c r="D295" s="4" t="s">
        <v>7</v>
      </c>
      <c r="F295">
        <v>3866883575</v>
      </c>
      <c r="G295" s="1" t="s">
        <v>434</v>
      </c>
      <c r="H295" s="1" t="s">
        <v>1375</v>
      </c>
      <c r="I295" s="1" t="s">
        <v>1081</v>
      </c>
      <c r="J295">
        <v>2638</v>
      </c>
      <c r="K295" s="1" t="str">
        <f>VLOOKUP(uslugi41315[[#This Row],[ozn]],$A$2:$D$410,2,FALSE)</f>
        <v>Lublin</v>
      </c>
      <c r="L295" s="1">
        <f>IF(uslugi41315[[#This Row],[powiat]]="Konin",1,0)</f>
        <v>0</v>
      </c>
      <c r="M295" s="1" t="str">
        <f>VLOOKUP(uslugi41315[[#This Row],[NIP]],nip_firm61416[],2,FALSE)</f>
        <v>KPICO</v>
      </c>
    </row>
    <row r="296" spans="1:13" x14ac:dyDescent="0.25">
      <c r="A296" s="5" t="s">
        <v>790</v>
      </c>
      <c r="B296" s="6" t="s">
        <v>791</v>
      </c>
      <c r="C296" s="6" t="s">
        <v>792</v>
      </c>
      <c r="D296" s="7" t="s">
        <v>7</v>
      </c>
      <c r="F296">
        <v>1433397952</v>
      </c>
      <c r="G296" s="1" t="s">
        <v>314</v>
      </c>
      <c r="H296" s="1" t="s">
        <v>1376</v>
      </c>
      <c r="I296" s="1" t="s">
        <v>1081</v>
      </c>
      <c r="J296">
        <v>2018</v>
      </c>
      <c r="K296" s="1" t="str">
        <f>VLOOKUP(uslugi41315[[#This Row],[ozn]],$A$2:$D$410,2,FALSE)</f>
        <v>Konin</v>
      </c>
      <c r="L296" s="1">
        <f>IF(uslugi41315[[#This Row],[powiat]]="Konin",1,0)</f>
        <v>1</v>
      </c>
      <c r="M296" s="1" t="str">
        <f>VLOOKUP(uslugi41315[[#This Row],[NIP]],nip_firm61416[],2,FALSE)</f>
        <v>BARTEX</v>
      </c>
    </row>
    <row r="297" spans="1:13" x14ac:dyDescent="0.25">
      <c r="A297" s="2" t="s">
        <v>793</v>
      </c>
      <c r="B297" s="3" t="s">
        <v>794</v>
      </c>
      <c r="C297" s="3" t="s">
        <v>795</v>
      </c>
      <c r="D297" s="4" t="s">
        <v>7</v>
      </c>
      <c r="F297">
        <v>4779174699</v>
      </c>
      <c r="G297" s="1" t="s">
        <v>1003</v>
      </c>
      <c r="H297" s="1" t="s">
        <v>1377</v>
      </c>
      <c r="I297" s="1" t="s">
        <v>1081</v>
      </c>
      <c r="J297">
        <v>1600</v>
      </c>
      <c r="K297" s="1" t="str">
        <f>VLOOKUP(uslugi41315[[#This Row],[ozn]],$A$2:$D$410,2,FALSE)</f>
        <v>Wroclaw</v>
      </c>
      <c r="L297" s="1">
        <f>IF(uslugi41315[[#This Row],[powiat]]="Konin",1,0)</f>
        <v>0</v>
      </c>
      <c r="M297" s="1" t="str">
        <f>VLOOKUP(uslugi41315[[#This Row],[NIP]],nip_firm61416[],2,FALSE)</f>
        <v>FASO</v>
      </c>
    </row>
    <row r="298" spans="1:13" x14ac:dyDescent="0.25">
      <c r="A298" s="5" t="s">
        <v>796</v>
      </c>
      <c r="B298" s="6" t="s">
        <v>797</v>
      </c>
      <c r="C298" s="6" t="s">
        <v>798</v>
      </c>
      <c r="D298" s="7" t="s">
        <v>7</v>
      </c>
      <c r="F298">
        <v>4326751508</v>
      </c>
      <c r="G298" s="1" t="s">
        <v>386</v>
      </c>
      <c r="H298" s="1" t="s">
        <v>1378</v>
      </c>
      <c r="I298" s="1" t="s">
        <v>1081</v>
      </c>
      <c r="J298">
        <v>1800</v>
      </c>
      <c r="K298" s="1" t="str">
        <f>VLOOKUP(uslugi41315[[#This Row],[ozn]],$A$2:$D$410,2,FALSE)</f>
        <v>Leszno</v>
      </c>
      <c r="L298" s="1">
        <f>IF(uslugi41315[[#This Row],[powiat]]="Konin",1,0)</f>
        <v>0</v>
      </c>
      <c r="M298" s="1" t="str">
        <f>VLOOKUP(uslugi41315[[#This Row],[NIP]],nip_firm61416[],2,FALSE)</f>
        <v>WROCBUD2</v>
      </c>
    </row>
    <row r="299" spans="1:13" x14ac:dyDescent="0.25">
      <c r="A299" s="2" t="s">
        <v>799</v>
      </c>
      <c r="B299" s="3" t="s">
        <v>800</v>
      </c>
      <c r="C299" s="3" t="s">
        <v>801</v>
      </c>
      <c r="D299" s="4" t="s">
        <v>7</v>
      </c>
      <c r="F299">
        <v>4761158900</v>
      </c>
      <c r="G299" s="1" t="s">
        <v>29</v>
      </c>
      <c r="H299" s="1" t="s">
        <v>1379</v>
      </c>
      <c r="I299" s="1" t="s">
        <v>1081</v>
      </c>
      <c r="J299">
        <v>3144</v>
      </c>
      <c r="K299" s="1" t="str">
        <f>VLOOKUP(uslugi41315[[#This Row],[ozn]],$A$2:$D$410,2,FALSE)</f>
        <v>bialostocki</v>
      </c>
      <c r="L299" s="1">
        <f>IF(uslugi41315[[#This Row],[powiat]]="Konin",1,0)</f>
        <v>0</v>
      </c>
      <c r="M299" s="1" t="str">
        <f>VLOOKUP(uslugi41315[[#This Row],[NIP]],nip_firm61416[],2,FALSE)</f>
        <v>WROCBUD3</v>
      </c>
    </row>
    <row r="300" spans="1:13" x14ac:dyDescent="0.25">
      <c r="A300" s="5" t="s">
        <v>802</v>
      </c>
      <c r="B300" s="6" t="s">
        <v>803</v>
      </c>
      <c r="C300" s="6" t="s">
        <v>804</v>
      </c>
      <c r="D300" s="7" t="s">
        <v>7</v>
      </c>
      <c r="F300">
        <v>2119268767</v>
      </c>
      <c r="G300" s="1" t="s">
        <v>141</v>
      </c>
      <c r="H300" s="1" t="s">
        <v>1380</v>
      </c>
      <c r="I300" s="1" t="s">
        <v>1081</v>
      </c>
      <c r="J300">
        <v>1740</v>
      </c>
      <c r="K300" s="1" t="str">
        <f>VLOOKUP(uslugi41315[[#This Row],[ozn]],$A$2:$D$410,2,FALSE)</f>
        <v>elblaski</v>
      </c>
      <c r="L300" s="1">
        <f>IF(uslugi41315[[#This Row],[powiat]]="Konin",1,0)</f>
        <v>0</v>
      </c>
      <c r="M300" s="1" t="str">
        <f>VLOOKUP(uslugi41315[[#This Row],[NIP]],nip_firm61416[],2,FALSE)</f>
        <v>PETROLEUM</v>
      </c>
    </row>
    <row r="301" spans="1:13" x14ac:dyDescent="0.25">
      <c r="A301" s="2" t="s">
        <v>805</v>
      </c>
      <c r="B301" s="3" t="s">
        <v>806</v>
      </c>
      <c r="C301" s="3" t="s">
        <v>807</v>
      </c>
      <c r="D301" s="4" t="s">
        <v>7</v>
      </c>
      <c r="F301">
        <v>2581219876</v>
      </c>
      <c r="G301" s="1" t="s">
        <v>141</v>
      </c>
      <c r="H301" s="1" t="s">
        <v>1381</v>
      </c>
      <c r="I301" s="1" t="s">
        <v>1081</v>
      </c>
      <c r="J301">
        <v>2490</v>
      </c>
      <c r="K301" s="1" t="str">
        <f>VLOOKUP(uslugi41315[[#This Row],[ozn]],$A$2:$D$410,2,FALSE)</f>
        <v>elblaski</v>
      </c>
      <c r="L301" s="1">
        <f>IF(uslugi41315[[#This Row],[powiat]]="Konin",1,0)</f>
        <v>0</v>
      </c>
      <c r="M301" s="1" t="str">
        <f>VLOOKUP(uslugi41315[[#This Row],[NIP]],nip_firm61416[],2,FALSE)</f>
        <v>TECH-MASZ</v>
      </c>
    </row>
    <row r="302" spans="1:13" x14ac:dyDescent="0.25">
      <c r="A302" s="5" t="s">
        <v>808</v>
      </c>
      <c r="B302" s="6" t="s">
        <v>809</v>
      </c>
      <c r="C302" s="6" t="s">
        <v>810</v>
      </c>
      <c r="D302" s="7" t="s">
        <v>7</v>
      </c>
      <c r="F302">
        <v>2281651150</v>
      </c>
      <c r="G302" s="1" t="s">
        <v>552</v>
      </c>
      <c r="H302" s="1" t="s">
        <v>1382</v>
      </c>
      <c r="I302" s="1" t="s">
        <v>1087</v>
      </c>
      <c r="J302">
        <v>2170</v>
      </c>
      <c r="K302" s="1" t="str">
        <f>VLOOKUP(uslugi41315[[#This Row],[ozn]],$A$2:$D$410,2,FALSE)</f>
        <v>olsztynski</v>
      </c>
      <c r="L302" s="1">
        <f>IF(uslugi41315[[#This Row],[powiat]]="Konin",1,0)</f>
        <v>0</v>
      </c>
      <c r="M302" s="1" t="str">
        <f>VLOOKUP(uslugi41315[[#This Row],[NIP]],nip_firm61416[],2,FALSE)</f>
        <v>MAZUTEX</v>
      </c>
    </row>
    <row r="303" spans="1:13" x14ac:dyDescent="0.25">
      <c r="A303" s="2" t="s">
        <v>811</v>
      </c>
      <c r="B303" s="3" t="s">
        <v>812</v>
      </c>
      <c r="C303" s="3" t="s">
        <v>813</v>
      </c>
      <c r="D303" s="4" t="s">
        <v>7</v>
      </c>
      <c r="F303">
        <v>1599095267</v>
      </c>
      <c r="G303" s="1" t="s">
        <v>1022</v>
      </c>
      <c r="H303" s="1" t="s">
        <v>1383</v>
      </c>
      <c r="I303" s="1" t="s">
        <v>1081</v>
      </c>
      <c r="J303">
        <v>2238</v>
      </c>
      <c r="K303" s="1" t="str">
        <f>VLOOKUP(uslugi41315[[#This Row],[ozn]],$A$2:$D$410,2,FALSE)</f>
        <v>Zabrze</v>
      </c>
      <c r="L303" s="1">
        <f>IF(uslugi41315[[#This Row],[powiat]]="Konin",1,0)</f>
        <v>0</v>
      </c>
      <c r="M303" s="1" t="str">
        <f>VLOOKUP(uslugi41315[[#This Row],[NIP]],nip_firm61416[],2,FALSE)</f>
        <v>ZONAN</v>
      </c>
    </row>
    <row r="304" spans="1:13" x14ac:dyDescent="0.25">
      <c r="A304" s="5" t="s">
        <v>814</v>
      </c>
      <c r="B304" s="6" t="s">
        <v>815</v>
      </c>
      <c r="C304" s="6" t="s">
        <v>816</v>
      </c>
      <c r="D304" s="7" t="s">
        <v>7</v>
      </c>
      <c r="F304">
        <v>3783578981</v>
      </c>
      <c r="G304" s="1" t="s">
        <v>386</v>
      </c>
      <c r="H304" s="1" t="s">
        <v>1384</v>
      </c>
      <c r="I304" s="1" t="s">
        <v>1087</v>
      </c>
      <c r="J304">
        <v>2642</v>
      </c>
      <c r="K304" s="1" t="str">
        <f>VLOOKUP(uslugi41315[[#This Row],[ozn]],$A$2:$D$410,2,FALSE)</f>
        <v>Leszno</v>
      </c>
      <c r="L304" s="1">
        <f>IF(uslugi41315[[#This Row],[powiat]]="Konin",1,0)</f>
        <v>0</v>
      </c>
      <c r="M304" s="1" t="str">
        <f>VLOOKUP(uslugi41315[[#This Row],[NIP]],nip_firm61416[],2,FALSE)</f>
        <v>LUBEX</v>
      </c>
    </row>
    <row r="305" spans="1:13" x14ac:dyDescent="0.25">
      <c r="A305" s="2" t="s">
        <v>817</v>
      </c>
      <c r="B305" s="3" t="s">
        <v>818</v>
      </c>
      <c r="C305" s="3" t="s">
        <v>819</v>
      </c>
      <c r="D305" s="4" t="s">
        <v>7</v>
      </c>
      <c r="F305">
        <v>4779174699</v>
      </c>
      <c r="G305" s="1" t="s">
        <v>1003</v>
      </c>
      <c r="H305" s="1" t="s">
        <v>1385</v>
      </c>
      <c r="I305" s="1" t="s">
        <v>1081</v>
      </c>
      <c r="J305">
        <v>1575</v>
      </c>
      <c r="K305" s="1" t="str">
        <f>VLOOKUP(uslugi41315[[#This Row],[ozn]],$A$2:$D$410,2,FALSE)</f>
        <v>Wroclaw</v>
      </c>
      <c r="L305" s="1">
        <f>IF(uslugi41315[[#This Row],[powiat]]="Konin",1,0)</f>
        <v>0</v>
      </c>
      <c r="M305" s="1" t="str">
        <f>VLOOKUP(uslugi41315[[#This Row],[NIP]],nip_firm61416[],2,FALSE)</f>
        <v>FASO</v>
      </c>
    </row>
    <row r="306" spans="1:13" x14ac:dyDescent="0.25">
      <c r="A306" s="5" t="s">
        <v>820</v>
      </c>
      <c r="B306" s="6" t="s">
        <v>821</v>
      </c>
      <c r="C306" s="6" t="s">
        <v>821</v>
      </c>
      <c r="D306" s="7" t="s">
        <v>22</v>
      </c>
      <c r="F306">
        <v>4580185570</v>
      </c>
      <c r="G306" s="1" t="s">
        <v>1022</v>
      </c>
      <c r="H306" s="1" t="s">
        <v>1386</v>
      </c>
      <c r="I306" s="1" t="s">
        <v>1081</v>
      </c>
      <c r="J306">
        <v>1623</v>
      </c>
      <c r="K306" s="1" t="str">
        <f>VLOOKUP(uslugi41315[[#This Row],[ozn]],$A$2:$D$410,2,FALSE)</f>
        <v>Zabrze</v>
      </c>
      <c r="L306" s="1">
        <f>IF(uslugi41315[[#This Row],[powiat]]="Konin",1,0)</f>
        <v>0</v>
      </c>
      <c r="M306" s="1" t="str">
        <f>VLOOKUP(uslugi41315[[#This Row],[NIP]],nip_firm61416[],2,FALSE)</f>
        <v>JELORA</v>
      </c>
    </row>
    <row r="307" spans="1:13" x14ac:dyDescent="0.25">
      <c r="A307" s="2" t="s">
        <v>822</v>
      </c>
      <c r="B307" s="3" t="s">
        <v>823</v>
      </c>
      <c r="C307" s="3" t="s">
        <v>821</v>
      </c>
      <c r="D307" s="4" t="s">
        <v>7</v>
      </c>
      <c r="F307">
        <v>6727559092</v>
      </c>
      <c r="G307" s="1" t="s">
        <v>864</v>
      </c>
      <c r="H307" s="1" t="s">
        <v>1387</v>
      </c>
      <c r="I307" s="1" t="s">
        <v>1087</v>
      </c>
      <c r="J307">
        <v>2550</v>
      </c>
      <c r="K307" s="1" t="str">
        <f>VLOOKUP(uslugi41315[[#This Row],[ozn]],$A$2:$D$410,2,FALSE)</f>
        <v>tarnogorski</v>
      </c>
      <c r="L307" s="1">
        <f>IF(uslugi41315[[#This Row],[powiat]]="Konin",1,0)</f>
        <v>0</v>
      </c>
      <c r="M307" s="1" t="str">
        <f>VLOOKUP(uslugi41315[[#This Row],[NIP]],nip_firm61416[],2,FALSE)</f>
        <v>ANDROPOL SP. Z. O. O.</v>
      </c>
    </row>
    <row r="308" spans="1:13" x14ac:dyDescent="0.25">
      <c r="A308" s="5" t="s">
        <v>824</v>
      </c>
      <c r="B308" s="6" t="s">
        <v>825</v>
      </c>
      <c r="C308" s="6" t="s">
        <v>826</v>
      </c>
      <c r="D308" s="7" t="s">
        <v>7</v>
      </c>
      <c r="F308">
        <v>6727559092</v>
      </c>
      <c r="G308" s="1" t="s">
        <v>864</v>
      </c>
      <c r="H308" s="1" t="s">
        <v>1388</v>
      </c>
      <c r="I308" s="1" t="s">
        <v>1081</v>
      </c>
      <c r="J308">
        <v>2384</v>
      </c>
      <c r="K308" s="1" t="str">
        <f>VLOOKUP(uslugi41315[[#This Row],[ozn]],$A$2:$D$410,2,FALSE)</f>
        <v>tarnogorski</v>
      </c>
      <c r="L308" s="1">
        <f>IF(uslugi41315[[#This Row],[powiat]]="Konin",1,0)</f>
        <v>0</v>
      </c>
      <c r="M308" s="1" t="str">
        <f>VLOOKUP(uslugi41315[[#This Row],[NIP]],nip_firm61416[],2,FALSE)</f>
        <v>ANDROPOL SP. Z. O. O.</v>
      </c>
    </row>
    <row r="309" spans="1:13" x14ac:dyDescent="0.25">
      <c r="A309" s="2" t="s">
        <v>827</v>
      </c>
      <c r="B309" s="3" t="s">
        <v>825</v>
      </c>
      <c r="C309" s="3" t="s">
        <v>828</v>
      </c>
      <c r="D309" s="4" t="s">
        <v>7</v>
      </c>
      <c r="F309">
        <v>5418968184</v>
      </c>
      <c r="G309" s="1" t="s">
        <v>708</v>
      </c>
      <c r="H309" s="1" t="s">
        <v>1389</v>
      </c>
      <c r="I309" s="1" t="s">
        <v>1087</v>
      </c>
      <c r="J309">
        <v>2364</v>
      </c>
      <c r="K309" s="1" t="str">
        <f>VLOOKUP(uslugi41315[[#This Row],[ozn]],$A$2:$D$410,2,FALSE)</f>
        <v>Rybnik</v>
      </c>
      <c r="L309" s="1">
        <f>IF(uslugi41315[[#This Row],[powiat]]="Konin",1,0)</f>
        <v>0</v>
      </c>
      <c r="M309" s="1" t="str">
        <f>VLOOKUP(uslugi41315[[#This Row],[NIP]],nip_firm61416[],2,FALSE)</f>
        <v>SOSNEC</v>
      </c>
    </row>
    <row r="310" spans="1:13" x14ac:dyDescent="0.25">
      <c r="A310" s="5" t="s">
        <v>829</v>
      </c>
      <c r="B310" s="6" t="s">
        <v>830</v>
      </c>
      <c r="C310" s="6" t="s">
        <v>831</v>
      </c>
      <c r="D310" s="7" t="s">
        <v>7</v>
      </c>
      <c r="F310">
        <v>5514533376</v>
      </c>
      <c r="G310" s="1" t="s">
        <v>255</v>
      </c>
      <c r="H310" s="1" t="s">
        <v>1390</v>
      </c>
      <c r="I310" s="1" t="s">
        <v>1081</v>
      </c>
      <c r="J310">
        <v>2642</v>
      </c>
      <c r="K310" s="1" t="str">
        <f>VLOOKUP(uslugi41315[[#This Row],[ozn]],$A$2:$D$410,2,FALSE)</f>
        <v>jeleniogorski</v>
      </c>
      <c r="L310" s="1">
        <f>IF(uslugi41315[[#This Row],[powiat]]="Konin",1,0)</f>
        <v>0</v>
      </c>
      <c r="M310" s="1" t="str">
        <f>VLOOKUP(uslugi41315[[#This Row],[NIP]],nip_firm61416[],2,FALSE)</f>
        <v>BYTOM2</v>
      </c>
    </row>
    <row r="311" spans="1:13" x14ac:dyDescent="0.25">
      <c r="A311" s="2" t="s">
        <v>832</v>
      </c>
      <c r="B311" s="3" t="s">
        <v>833</v>
      </c>
      <c r="C311" s="3" t="s">
        <v>834</v>
      </c>
      <c r="D311" s="4" t="s">
        <v>7</v>
      </c>
      <c r="F311">
        <v>3579231044</v>
      </c>
      <c r="G311" s="1" t="s">
        <v>370</v>
      </c>
      <c r="H311" s="1" t="s">
        <v>1391</v>
      </c>
      <c r="I311" s="1" t="s">
        <v>1081</v>
      </c>
      <c r="J311">
        <v>3002</v>
      </c>
      <c r="K311" s="1" t="str">
        <f>VLOOKUP(uslugi41315[[#This Row],[ozn]],$A$2:$D$410,2,FALSE)</f>
        <v>leczynski</v>
      </c>
      <c r="L311" s="1">
        <f>IF(uslugi41315[[#This Row],[powiat]]="Konin",1,0)</f>
        <v>0</v>
      </c>
      <c r="M311" s="1" t="str">
        <f>VLOOKUP(uslugi41315[[#This Row],[NIP]],nip_firm61416[],2,FALSE)</f>
        <v>BAZALT S. A.</v>
      </c>
    </row>
    <row r="312" spans="1:13" x14ac:dyDescent="0.25">
      <c r="A312" s="5" t="s">
        <v>835</v>
      </c>
      <c r="B312" s="6" t="s">
        <v>836</v>
      </c>
      <c r="C312" s="6" t="s">
        <v>837</v>
      </c>
      <c r="D312" s="7" t="s">
        <v>7</v>
      </c>
      <c r="F312">
        <v>4458233905</v>
      </c>
      <c r="G312" s="1" t="s">
        <v>1003</v>
      </c>
      <c r="H312" s="1" t="s">
        <v>1392</v>
      </c>
      <c r="I312" s="1" t="s">
        <v>1081</v>
      </c>
      <c r="J312">
        <v>3128</v>
      </c>
      <c r="K312" s="1" t="str">
        <f>VLOOKUP(uslugi41315[[#This Row],[ozn]],$A$2:$D$410,2,FALSE)</f>
        <v>Wroclaw</v>
      </c>
      <c r="L312" s="1">
        <f>IF(uslugi41315[[#This Row],[powiat]]="Konin",1,0)</f>
        <v>0</v>
      </c>
      <c r="M312" s="1" t="str">
        <f>VLOOKUP(uslugi41315[[#This Row],[NIP]],nip_firm61416[],2,FALSE)</f>
        <v>WROCBUD1</v>
      </c>
    </row>
    <row r="313" spans="1:13" x14ac:dyDescent="0.25">
      <c r="A313" s="2" t="s">
        <v>838</v>
      </c>
      <c r="B313" s="3" t="s">
        <v>839</v>
      </c>
      <c r="C313" s="3" t="s">
        <v>840</v>
      </c>
      <c r="D313" s="4" t="s">
        <v>22</v>
      </c>
      <c r="F313">
        <v>1939065269</v>
      </c>
      <c r="G313" s="1" t="s">
        <v>636</v>
      </c>
      <c r="H313" s="1" t="s">
        <v>1393</v>
      </c>
      <c r="I313" s="1" t="s">
        <v>1087</v>
      </c>
      <c r="J313">
        <v>1980</v>
      </c>
      <c r="K313" s="1" t="str">
        <f>VLOOKUP(uslugi41315[[#This Row],[ozn]],$A$2:$D$410,2,FALSE)</f>
        <v>Poznan</v>
      </c>
      <c r="L313" s="1">
        <f>IF(uslugi41315[[#This Row],[powiat]]="Konin",1,0)</f>
        <v>0</v>
      </c>
      <c r="M313" s="1" t="str">
        <f>VLOOKUP(uslugi41315[[#This Row],[NIP]],nip_firm61416[],2,FALSE)</f>
        <v>KUSTMASZ</v>
      </c>
    </row>
    <row r="314" spans="1:13" x14ac:dyDescent="0.25">
      <c r="A314" s="5" t="s">
        <v>841</v>
      </c>
      <c r="B314" s="6" t="s">
        <v>842</v>
      </c>
      <c r="C314" s="6" t="s">
        <v>842</v>
      </c>
      <c r="D314" s="7" t="s">
        <v>22</v>
      </c>
      <c r="F314">
        <v>3345883725</v>
      </c>
      <c r="G314" s="1" t="s">
        <v>428</v>
      </c>
      <c r="H314" s="1" t="s">
        <v>1394</v>
      </c>
      <c r="I314" s="1" t="s">
        <v>1087</v>
      </c>
      <c r="J314">
        <v>2784</v>
      </c>
      <c r="K314" s="1" t="str">
        <f>VLOOKUP(uslugi41315[[#This Row],[ozn]],$A$2:$D$410,2,FALSE)</f>
        <v>lubelski</v>
      </c>
      <c r="L314" s="1">
        <f>IF(uslugi41315[[#This Row],[powiat]]="Konin",1,0)</f>
        <v>0</v>
      </c>
      <c r="M314" s="1" t="str">
        <f>VLOOKUP(uslugi41315[[#This Row],[NIP]],nip_firm61416[],2,FALSE)</f>
        <v>ZACH-MET</v>
      </c>
    </row>
    <row r="315" spans="1:13" x14ac:dyDescent="0.25">
      <c r="A315" s="2" t="s">
        <v>843</v>
      </c>
      <c r="B315" s="3" t="s">
        <v>844</v>
      </c>
      <c r="C315" s="3" t="s">
        <v>845</v>
      </c>
      <c r="D315" s="4" t="s">
        <v>7</v>
      </c>
      <c r="F315">
        <v>3357631311</v>
      </c>
      <c r="G315" s="1" t="s">
        <v>1030</v>
      </c>
      <c r="H315" s="1" t="s">
        <v>1395</v>
      </c>
      <c r="I315" s="1" t="s">
        <v>1081</v>
      </c>
      <c r="J315">
        <v>2014</v>
      </c>
      <c r="K315" s="1" t="str">
        <f>VLOOKUP(uslugi41315[[#This Row],[ozn]],$A$2:$D$410,2,FALSE)</f>
        <v>zamojski</v>
      </c>
      <c r="L315" s="1">
        <f>IF(uslugi41315[[#This Row],[powiat]]="Konin",1,0)</f>
        <v>0</v>
      </c>
      <c r="M315" s="1" t="str">
        <f>VLOOKUP(uslugi41315[[#This Row],[NIP]],nip_firm61416[],2,FALSE)</f>
        <v>GAZPOL</v>
      </c>
    </row>
    <row r="316" spans="1:13" x14ac:dyDescent="0.25">
      <c r="A316" s="5" t="s">
        <v>846</v>
      </c>
      <c r="B316" s="6" t="s">
        <v>847</v>
      </c>
      <c r="C316" s="6" t="s">
        <v>847</v>
      </c>
      <c r="D316" s="7" t="s">
        <v>22</v>
      </c>
      <c r="F316">
        <v>2869229213</v>
      </c>
      <c r="G316" s="1" t="s">
        <v>708</v>
      </c>
      <c r="H316" s="1" t="s">
        <v>1396</v>
      </c>
      <c r="I316" s="1" t="s">
        <v>1087</v>
      </c>
      <c r="J316">
        <v>1280</v>
      </c>
      <c r="K316" s="1" t="str">
        <f>VLOOKUP(uslugi41315[[#This Row],[ozn]],$A$2:$D$410,2,FALSE)</f>
        <v>Rybnik</v>
      </c>
      <c r="L316" s="1">
        <f>IF(uslugi41315[[#This Row],[powiat]]="Konin",1,0)</f>
        <v>0</v>
      </c>
      <c r="M316" s="1" t="str">
        <f>VLOOKUP(uslugi41315[[#This Row],[NIP]],nip_firm61416[],2,FALSE)</f>
        <v>KERN</v>
      </c>
    </row>
    <row r="317" spans="1:13" x14ac:dyDescent="0.25">
      <c r="A317" s="2" t="s">
        <v>848</v>
      </c>
      <c r="B317" s="3" t="s">
        <v>849</v>
      </c>
      <c r="C317" s="3" t="s">
        <v>850</v>
      </c>
      <c r="D317" s="4" t="s">
        <v>7</v>
      </c>
      <c r="F317">
        <v>1599095267</v>
      </c>
      <c r="G317" s="1" t="s">
        <v>708</v>
      </c>
      <c r="H317" s="1" t="s">
        <v>1397</v>
      </c>
      <c r="I317" s="1" t="s">
        <v>1087</v>
      </c>
      <c r="J317">
        <v>2796</v>
      </c>
      <c r="K317" s="1" t="str">
        <f>VLOOKUP(uslugi41315[[#This Row],[ozn]],$A$2:$D$410,2,FALSE)</f>
        <v>Rybnik</v>
      </c>
      <c r="L317" s="1">
        <f>IF(uslugi41315[[#This Row],[powiat]]="Konin",1,0)</f>
        <v>0</v>
      </c>
      <c r="M317" s="1" t="str">
        <f>VLOOKUP(uslugi41315[[#This Row],[NIP]],nip_firm61416[],2,FALSE)</f>
        <v>ZONAN</v>
      </c>
    </row>
    <row r="318" spans="1:13" x14ac:dyDescent="0.25">
      <c r="A318" s="5" t="s">
        <v>851</v>
      </c>
      <c r="B318" s="6" t="s">
        <v>852</v>
      </c>
      <c r="C318" s="6" t="s">
        <v>853</v>
      </c>
      <c r="D318" s="7" t="s">
        <v>7</v>
      </c>
      <c r="F318">
        <v>3678947206</v>
      </c>
      <c r="G318" s="1" t="s">
        <v>527</v>
      </c>
      <c r="H318" s="1" t="s">
        <v>1398</v>
      </c>
      <c r="I318" s="1" t="s">
        <v>1087</v>
      </c>
      <c r="J318">
        <v>2475</v>
      </c>
      <c r="K318" s="1" t="str">
        <f>VLOOKUP(uslugi41315[[#This Row],[ozn]],$A$2:$D$410,2,FALSE)</f>
        <v>nyski</v>
      </c>
      <c r="L318" s="1">
        <f>IF(uslugi41315[[#This Row],[powiat]]="Konin",1,0)</f>
        <v>0</v>
      </c>
      <c r="M318" s="1" t="str">
        <f>VLOOKUP(uslugi41315[[#This Row],[NIP]],nip_firm61416[],2,FALSE)</f>
        <v>LUBLIN2</v>
      </c>
    </row>
    <row r="319" spans="1:13" x14ac:dyDescent="0.25">
      <c r="A319" s="2" t="s">
        <v>854</v>
      </c>
      <c r="B319" s="3" t="s">
        <v>855</v>
      </c>
      <c r="C319" s="3" t="s">
        <v>856</v>
      </c>
      <c r="D319" s="4" t="s">
        <v>7</v>
      </c>
      <c r="F319">
        <v>2245871126</v>
      </c>
      <c r="G319" s="1" t="s">
        <v>73</v>
      </c>
      <c r="H319" s="1" t="s">
        <v>1399</v>
      </c>
      <c r="I319" s="1" t="s">
        <v>1087</v>
      </c>
      <c r="J319">
        <v>1806</v>
      </c>
      <c r="K319" s="1" t="str">
        <f>VLOOKUP(uslugi41315[[#This Row],[ozn]],$A$2:$D$410,2,FALSE)</f>
        <v>buski</v>
      </c>
      <c r="L319" s="1">
        <f>IF(uslugi41315[[#This Row],[powiat]]="Konin",1,0)</f>
        <v>0</v>
      </c>
      <c r="M319" s="1" t="str">
        <f>VLOOKUP(uslugi41315[[#This Row],[NIP]],nip_firm61416[],2,FALSE)</f>
        <v>OLSZTYN</v>
      </c>
    </row>
    <row r="320" spans="1:13" x14ac:dyDescent="0.25">
      <c r="A320" s="5" t="s">
        <v>857</v>
      </c>
      <c r="B320" s="6" t="s">
        <v>858</v>
      </c>
      <c r="C320" s="6" t="s">
        <v>859</v>
      </c>
      <c r="D320" s="7" t="s">
        <v>7</v>
      </c>
      <c r="F320">
        <v>5115061689</v>
      </c>
      <c r="G320" s="1" t="s">
        <v>704</v>
      </c>
      <c r="H320" s="1" t="s">
        <v>1400</v>
      </c>
      <c r="I320" s="1" t="s">
        <v>1087</v>
      </c>
      <c r="J320">
        <v>2595</v>
      </c>
      <c r="K320" s="1" t="str">
        <f>VLOOKUP(uslugi41315[[#This Row],[ozn]],$A$2:$D$410,2,FALSE)</f>
        <v>Ruda Slaska</v>
      </c>
      <c r="L320" s="1">
        <f>IF(uslugi41315[[#This Row],[powiat]]="Konin",1,0)</f>
        <v>0</v>
      </c>
      <c r="M320" s="1" t="str">
        <f>VLOOKUP(uslugi41315[[#This Row],[NIP]],nip_firm61416[],2,FALSE)</f>
        <v>BETON-STAL</v>
      </c>
    </row>
    <row r="321" spans="1:13" x14ac:dyDescent="0.25">
      <c r="A321" s="2" t="s">
        <v>860</v>
      </c>
      <c r="B321" s="3" t="s">
        <v>861</v>
      </c>
      <c r="C321" s="3" t="s">
        <v>861</v>
      </c>
      <c r="D321" s="4" t="s">
        <v>22</v>
      </c>
      <c r="F321">
        <v>1620242236</v>
      </c>
      <c r="G321" s="1" t="s">
        <v>314</v>
      </c>
      <c r="H321" s="1" t="s">
        <v>1401</v>
      </c>
      <c r="I321" s="1" t="s">
        <v>1081</v>
      </c>
      <c r="J321">
        <v>2836</v>
      </c>
      <c r="K321" s="1" t="str">
        <f>VLOOKUP(uslugi41315[[#This Row],[ozn]],$A$2:$D$410,2,FALSE)</f>
        <v>Konin</v>
      </c>
      <c r="L321" s="1">
        <f>IF(uslugi41315[[#This Row],[powiat]]="Konin",1,0)</f>
        <v>1</v>
      </c>
      <c r="M321" s="1" t="str">
        <f>VLOOKUP(uslugi41315[[#This Row],[NIP]],nip_firm61416[],2,FALSE)</f>
        <v>WIET-IND</v>
      </c>
    </row>
    <row r="322" spans="1:13" x14ac:dyDescent="0.25">
      <c r="A322" s="5" t="s">
        <v>862</v>
      </c>
      <c r="B322" s="6" t="s">
        <v>863</v>
      </c>
      <c r="C322" s="6" t="s">
        <v>861</v>
      </c>
      <c r="D322" s="7" t="s">
        <v>7</v>
      </c>
      <c r="F322">
        <v>3318203338</v>
      </c>
      <c r="G322" s="1" t="s">
        <v>708</v>
      </c>
      <c r="H322" s="1" t="s">
        <v>1402</v>
      </c>
      <c r="I322" s="1" t="s">
        <v>1087</v>
      </c>
      <c r="J322">
        <v>2349</v>
      </c>
      <c r="K322" s="1" t="str">
        <f>VLOOKUP(uslugi41315[[#This Row],[ozn]],$A$2:$D$410,2,FALSE)</f>
        <v>Rybnik</v>
      </c>
      <c r="L322" s="1">
        <f>IF(uslugi41315[[#This Row],[powiat]]="Konin",1,0)</f>
        <v>0</v>
      </c>
      <c r="M322" s="1" t="str">
        <f>VLOOKUP(uslugi41315[[#This Row],[NIP]],nip_firm61416[],2,FALSE)</f>
        <v>LUBLIN1</v>
      </c>
    </row>
    <row r="323" spans="1:13" x14ac:dyDescent="0.25">
      <c r="A323" s="2" t="s">
        <v>864</v>
      </c>
      <c r="B323" s="3" t="s">
        <v>865</v>
      </c>
      <c r="C323" s="3" t="s">
        <v>866</v>
      </c>
      <c r="D323" s="4" t="s">
        <v>7</v>
      </c>
      <c r="F323">
        <v>3357631311</v>
      </c>
      <c r="G323" s="1" t="s">
        <v>1030</v>
      </c>
      <c r="H323" s="1" t="s">
        <v>1403</v>
      </c>
      <c r="I323" s="1" t="s">
        <v>1087</v>
      </c>
      <c r="J323">
        <v>2870</v>
      </c>
      <c r="K323" s="1" t="str">
        <f>VLOOKUP(uslugi41315[[#This Row],[ozn]],$A$2:$D$410,2,FALSE)</f>
        <v>zamojski</v>
      </c>
      <c r="L323" s="1">
        <f>IF(uslugi41315[[#This Row],[powiat]]="Konin",1,0)</f>
        <v>0</v>
      </c>
      <c r="M323" s="1" t="str">
        <f>VLOOKUP(uslugi41315[[#This Row],[NIP]],nip_firm61416[],2,FALSE)</f>
        <v>GAZPOL</v>
      </c>
    </row>
    <row r="324" spans="1:13" x14ac:dyDescent="0.25">
      <c r="A324" s="5" t="s">
        <v>867</v>
      </c>
      <c r="B324" s="6" t="s">
        <v>868</v>
      </c>
      <c r="C324" s="6" t="s">
        <v>868</v>
      </c>
      <c r="D324" s="7" t="s">
        <v>22</v>
      </c>
      <c r="F324">
        <v>4580185570</v>
      </c>
      <c r="G324" s="1" t="s">
        <v>708</v>
      </c>
      <c r="H324" s="1" t="s">
        <v>1404</v>
      </c>
      <c r="I324" s="1" t="s">
        <v>1087</v>
      </c>
      <c r="J324">
        <v>2616</v>
      </c>
      <c r="K324" s="1" t="str">
        <f>VLOOKUP(uslugi41315[[#This Row],[ozn]],$A$2:$D$410,2,FALSE)</f>
        <v>Rybnik</v>
      </c>
      <c r="L324" s="1">
        <f>IF(uslugi41315[[#This Row],[powiat]]="Konin",1,0)</f>
        <v>0</v>
      </c>
      <c r="M324" s="1" t="str">
        <f>VLOOKUP(uslugi41315[[#This Row],[NIP]],nip_firm61416[],2,FALSE)</f>
        <v>JELORA</v>
      </c>
    </row>
    <row r="325" spans="1:13" x14ac:dyDescent="0.25">
      <c r="A325" s="2" t="s">
        <v>869</v>
      </c>
      <c r="B325" s="3" t="s">
        <v>870</v>
      </c>
      <c r="C325" s="3" t="s">
        <v>868</v>
      </c>
      <c r="D325" s="4" t="s">
        <v>7</v>
      </c>
      <c r="F325">
        <v>6758177505</v>
      </c>
      <c r="G325" s="1" t="s">
        <v>864</v>
      </c>
      <c r="H325" s="1" t="s">
        <v>1405</v>
      </c>
      <c r="I325" s="1" t="s">
        <v>1081</v>
      </c>
      <c r="J325">
        <v>2523</v>
      </c>
      <c r="K325" s="1" t="str">
        <f>VLOOKUP(uslugi41315[[#This Row],[ozn]],$A$2:$D$410,2,FALSE)</f>
        <v>tarnogorski</v>
      </c>
      <c r="L325" s="1">
        <f>IF(uslugi41315[[#This Row],[powiat]]="Konin",1,0)</f>
        <v>0</v>
      </c>
      <c r="M325" s="1" t="str">
        <f>VLOOKUP(uslugi41315[[#This Row],[NIP]],nip_firm61416[],2,FALSE)</f>
        <v>WERTIX</v>
      </c>
    </row>
    <row r="326" spans="1:13" x14ac:dyDescent="0.25">
      <c r="A326" s="5" t="s">
        <v>871</v>
      </c>
      <c r="B326" s="6" t="s">
        <v>872</v>
      </c>
      <c r="C326" s="6" t="s">
        <v>873</v>
      </c>
      <c r="D326" s="7" t="s">
        <v>7</v>
      </c>
      <c r="F326">
        <v>3568004264</v>
      </c>
      <c r="G326" s="1" t="s">
        <v>428</v>
      </c>
      <c r="H326" s="1" t="s">
        <v>1406</v>
      </c>
      <c r="I326" s="1" t="s">
        <v>1081</v>
      </c>
      <c r="J326">
        <v>2060</v>
      </c>
      <c r="K326" s="1" t="str">
        <f>VLOOKUP(uslugi41315[[#This Row],[ozn]],$A$2:$D$410,2,FALSE)</f>
        <v>lubelski</v>
      </c>
      <c r="L326" s="1">
        <f>IF(uslugi41315[[#This Row],[powiat]]="Konin",1,0)</f>
        <v>0</v>
      </c>
      <c r="M326" s="1" t="str">
        <f>VLOOKUP(uslugi41315[[#This Row],[NIP]],nip_firm61416[],2,FALSE)</f>
        <v>MURATOR</v>
      </c>
    </row>
    <row r="327" spans="1:13" x14ac:dyDescent="0.25">
      <c r="A327" s="2" t="s">
        <v>874</v>
      </c>
      <c r="B327" s="3" t="s">
        <v>875</v>
      </c>
      <c r="C327" s="3" t="s">
        <v>876</v>
      </c>
      <c r="D327" s="4" t="s">
        <v>7</v>
      </c>
      <c r="F327">
        <v>3470453173</v>
      </c>
      <c r="G327" s="1" t="s">
        <v>85</v>
      </c>
      <c r="H327" s="1" t="s">
        <v>1407</v>
      </c>
      <c r="I327" s="1" t="s">
        <v>1087</v>
      </c>
      <c r="J327">
        <v>2151</v>
      </c>
      <c r="K327" s="1" t="str">
        <f>VLOOKUP(uslugi41315[[#This Row],[ozn]],$A$2:$D$410,2,FALSE)</f>
        <v>Chelm</v>
      </c>
      <c r="L327" s="1">
        <f>IF(uslugi41315[[#This Row],[powiat]]="Konin",1,0)</f>
        <v>0</v>
      </c>
      <c r="M327" s="1" t="str">
        <f>VLOOKUP(uslugi41315[[#This Row],[NIP]],nip_firm61416[],2,FALSE)</f>
        <v>MASPOL</v>
      </c>
    </row>
    <row r="328" spans="1:13" x14ac:dyDescent="0.25">
      <c r="A328" s="5" t="s">
        <v>877</v>
      </c>
      <c r="B328" s="6" t="s">
        <v>878</v>
      </c>
      <c r="C328" s="6" t="s">
        <v>879</v>
      </c>
      <c r="D328" s="7" t="s">
        <v>7</v>
      </c>
      <c r="F328">
        <v>3866883575</v>
      </c>
      <c r="G328" s="1" t="s">
        <v>434</v>
      </c>
      <c r="H328" s="1" t="s">
        <v>1408</v>
      </c>
      <c r="I328" s="1" t="s">
        <v>1087</v>
      </c>
      <c r="J328">
        <v>2818</v>
      </c>
      <c r="K328" s="1" t="str">
        <f>VLOOKUP(uslugi41315[[#This Row],[ozn]],$A$2:$D$410,2,FALSE)</f>
        <v>Lublin</v>
      </c>
      <c r="L328" s="1">
        <f>IF(uslugi41315[[#This Row],[powiat]]="Konin",1,0)</f>
        <v>0</v>
      </c>
      <c r="M328" s="1" t="str">
        <f>VLOOKUP(uslugi41315[[#This Row],[NIP]],nip_firm61416[],2,FALSE)</f>
        <v>KPICO</v>
      </c>
    </row>
    <row r="329" spans="1:13" x14ac:dyDescent="0.25">
      <c r="A329" s="2" t="s">
        <v>880</v>
      </c>
      <c r="B329" s="3" t="s">
        <v>878</v>
      </c>
      <c r="C329" s="3" t="s">
        <v>881</v>
      </c>
      <c r="D329" s="4" t="s">
        <v>7</v>
      </c>
      <c r="F329">
        <v>1433397952</v>
      </c>
      <c r="G329" s="1" t="s">
        <v>314</v>
      </c>
      <c r="H329" s="1" t="s">
        <v>1409</v>
      </c>
      <c r="I329" s="1" t="s">
        <v>1087</v>
      </c>
      <c r="J329">
        <v>1851</v>
      </c>
      <c r="K329" s="1" t="str">
        <f>VLOOKUP(uslugi41315[[#This Row],[ozn]],$A$2:$D$410,2,FALSE)</f>
        <v>Konin</v>
      </c>
      <c r="L329" s="1">
        <f>IF(uslugi41315[[#This Row],[powiat]]="Konin",1,0)</f>
        <v>1</v>
      </c>
      <c r="M329" s="1" t="str">
        <f>VLOOKUP(uslugi41315[[#This Row],[NIP]],nip_firm61416[],2,FALSE)</f>
        <v>BARTEX</v>
      </c>
    </row>
    <row r="330" spans="1:13" x14ac:dyDescent="0.25">
      <c r="A330" s="5" t="s">
        <v>882</v>
      </c>
      <c r="B330" s="6" t="s">
        <v>883</v>
      </c>
      <c r="C330" s="6" t="s">
        <v>883</v>
      </c>
      <c r="D330" s="7" t="s">
        <v>22</v>
      </c>
      <c r="F330">
        <v>3470453173</v>
      </c>
      <c r="G330" s="1" t="s">
        <v>85</v>
      </c>
      <c r="H330" s="1" t="s">
        <v>1410</v>
      </c>
      <c r="I330" s="1" t="s">
        <v>1081</v>
      </c>
      <c r="J330">
        <v>2062</v>
      </c>
      <c r="K330" s="1" t="str">
        <f>VLOOKUP(uslugi41315[[#This Row],[ozn]],$A$2:$D$410,2,FALSE)</f>
        <v>Chelm</v>
      </c>
      <c r="L330" s="1">
        <f>IF(uslugi41315[[#This Row],[powiat]]="Konin",1,0)</f>
        <v>0</v>
      </c>
      <c r="M330" s="1" t="str">
        <f>VLOOKUP(uslugi41315[[#This Row],[NIP]],nip_firm61416[],2,FALSE)</f>
        <v>MASPOL</v>
      </c>
    </row>
    <row r="331" spans="1:13" x14ac:dyDescent="0.25">
      <c r="A331" s="2" t="s">
        <v>884</v>
      </c>
      <c r="B331" s="3" t="s">
        <v>885</v>
      </c>
      <c r="C331" s="3" t="s">
        <v>883</v>
      </c>
      <c r="D331" s="4" t="s">
        <v>7</v>
      </c>
      <c r="F331">
        <v>6758177505</v>
      </c>
      <c r="G331" s="1" t="s">
        <v>864</v>
      </c>
      <c r="H331" s="1" t="s">
        <v>1411</v>
      </c>
      <c r="I331" s="1" t="s">
        <v>1087</v>
      </c>
      <c r="J331">
        <v>2258</v>
      </c>
      <c r="K331" s="1" t="str">
        <f>VLOOKUP(uslugi41315[[#This Row],[ozn]],$A$2:$D$410,2,FALSE)</f>
        <v>tarnogorski</v>
      </c>
      <c r="L331" s="1">
        <f>IF(uslugi41315[[#This Row],[powiat]]="Konin",1,0)</f>
        <v>0</v>
      </c>
      <c r="M331" s="1" t="str">
        <f>VLOOKUP(uslugi41315[[#This Row],[NIP]],nip_firm61416[],2,FALSE)</f>
        <v>WERTIX</v>
      </c>
    </row>
    <row r="332" spans="1:13" x14ac:dyDescent="0.25">
      <c r="A332" s="5" t="s">
        <v>886</v>
      </c>
      <c r="B332" s="6" t="s">
        <v>887</v>
      </c>
      <c r="C332" s="6" t="s">
        <v>888</v>
      </c>
      <c r="D332" s="7" t="s">
        <v>7</v>
      </c>
      <c r="F332">
        <v>5266741491</v>
      </c>
      <c r="G332" s="1" t="s">
        <v>708</v>
      </c>
      <c r="H332" s="1" t="s">
        <v>1412</v>
      </c>
      <c r="I332" s="1" t="s">
        <v>1087</v>
      </c>
      <c r="J332">
        <v>1774</v>
      </c>
      <c r="K332" s="1" t="str">
        <f>VLOOKUP(uslugi41315[[#This Row],[ozn]],$A$2:$D$410,2,FALSE)</f>
        <v>Rybnik</v>
      </c>
      <c r="L332" s="1">
        <f>IF(uslugi41315[[#This Row],[powiat]]="Konin",1,0)</f>
        <v>0</v>
      </c>
      <c r="M332" s="1" t="str">
        <f>VLOOKUP(uslugi41315[[#This Row],[NIP]],nip_firm61416[],2,FALSE)</f>
        <v>PIEKAR</v>
      </c>
    </row>
    <row r="333" spans="1:13" x14ac:dyDescent="0.25">
      <c r="A333" s="2" t="s">
        <v>889</v>
      </c>
      <c r="B333" s="3" t="s">
        <v>890</v>
      </c>
      <c r="C333" s="3" t="s">
        <v>891</v>
      </c>
      <c r="D333" s="4" t="s">
        <v>7</v>
      </c>
      <c r="F333">
        <v>2214740049</v>
      </c>
      <c r="G333" s="1" t="s">
        <v>56</v>
      </c>
      <c r="H333" s="1" t="s">
        <v>1413</v>
      </c>
      <c r="I333" s="1" t="s">
        <v>1087</v>
      </c>
      <c r="J333">
        <v>2066</v>
      </c>
      <c r="K333" s="1" t="str">
        <f>VLOOKUP(uslugi41315[[#This Row],[ozn]],$A$2:$D$410,2,FALSE)</f>
        <v>braniewski</v>
      </c>
      <c r="L333" s="1">
        <f>IF(uslugi41315[[#This Row],[powiat]]="Konin",1,0)</f>
        <v>0</v>
      </c>
      <c r="M333" s="1" t="str">
        <f>VLOOKUP(uslugi41315[[#This Row],[NIP]],nip_firm61416[],2,FALSE)</f>
        <v>SZPULTEX</v>
      </c>
    </row>
    <row r="334" spans="1:13" x14ac:dyDescent="0.25">
      <c r="A334" s="5" t="s">
        <v>892</v>
      </c>
      <c r="B334" s="6" t="s">
        <v>893</v>
      </c>
      <c r="C334" s="6" t="s">
        <v>894</v>
      </c>
      <c r="D334" s="7" t="s">
        <v>7</v>
      </c>
      <c r="F334">
        <v>1433397952</v>
      </c>
      <c r="G334" s="1" t="s">
        <v>314</v>
      </c>
      <c r="H334" s="1" t="s">
        <v>1414</v>
      </c>
      <c r="I334" s="1" t="s">
        <v>1087</v>
      </c>
      <c r="J334">
        <v>1626</v>
      </c>
      <c r="K334" s="1" t="str">
        <f>VLOOKUP(uslugi41315[[#This Row],[ozn]],$A$2:$D$410,2,FALSE)</f>
        <v>Konin</v>
      </c>
      <c r="L334" s="1">
        <f>IF(uslugi41315[[#This Row],[powiat]]="Konin",1,0)</f>
        <v>1</v>
      </c>
      <c r="M334" s="1" t="str">
        <f>VLOOKUP(uslugi41315[[#This Row],[NIP]],nip_firm61416[],2,FALSE)</f>
        <v>BARTEX</v>
      </c>
    </row>
    <row r="335" spans="1:13" x14ac:dyDescent="0.25">
      <c r="A335" s="2" t="s">
        <v>895</v>
      </c>
      <c r="B335" s="3" t="s">
        <v>896</v>
      </c>
      <c r="C335" s="3" t="s">
        <v>896</v>
      </c>
      <c r="D335" s="4" t="s">
        <v>22</v>
      </c>
      <c r="F335">
        <v>4326751508</v>
      </c>
      <c r="G335" s="1" t="s">
        <v>255</v>
      </c>
      <c r="H335" s="1" t="s">
        <v>1415</v>
      </c>
      <c r="I335" s="1" t="s">
        <v>1087</v>
      </c>
      <c r="J335">
        <v>1601</v>
      </c>
      <c r="K335" s="1" t="str">
        <f>VLOOKUP(uslugi41315[[#This Row],[ozn]],$A$2:$D$410,2,FALSE)</f>
        <v>jeleniogorski</v>
      </c>
      <c r="L335" s="1">
        <f>IF(uslugi41315[[#This Row],[powiat]]="Konin",1,0)</f>
        <v>0</v>
      </c>
      <c r="M335" s="1" t="str">
        <f>VLOOKUP(uslugi41315[[#This Row],[NIP]],nip_firm61416[],2,FALSE)</f>
        <v>WROCBUD2</v>
      </c>
    </row>
    <row r="336" spans="1:13" x14ac:dyDescent="0.25">
      <c r="A336" s="5" t="s">
        <v>897</v>
      </c>
      <c r="B336" s="6" t="s">
        <v>898</v>
      </c>
      <c r="C336" s="6" t="s">
        <v>896</v>
      </c>
      <c r="D336" s="7" t="s">
        <v>7</v>
      </c>
      <c r="F336">
        <v>1433397952</v>
      </c>
      <c r="G336" s="1" t="s">
        <v>314</v>
      </c>
      <c r="H336" s="1" t="s">
        <v>1416</v>
      </c>
      <c r="I336" s="1" t="s">
        <v>1087</v>
      </c>
      <c r="J336">
        <v>2865</v>
      </c>
      <c r="K336" s="1" t="str">
        <f>VLOOKUP(uslugi41315[[#This Row],[ozn]],$A$2:$D$410,2,FALSE)</f>
        <v>Konin</v>
      </c>
      <c r="L336" s="1">
        <f>IF(uslugi41315[[#This Row],[powiat]]="Konin",1,0)</f>
        <v>1</v>
      </c>
      <c r="M336" s="1" t="str">
        <f>VLOOKUP(uslugi41315[[#This Row],[NIP]],nip_firm61416[],2,FALSE)</f>
        <v>BARTEX</v>
      </c>
    </row>
    <row r="337" spans="1:13" x14ac:dyDescent="0.25">
      <c r="A337" s="2" t="s">
        <v>899</v>
      </c>
      <c r="B337" s="3" t="s">
        <v>900</v>
      </c>
      <c r="C337" s="3" t="s">
        <v>901</v>
      </c>
      <c r="D337" s="4" t="s">
        <v>7</v>
      </c>
      <c r="F337">
        <v>2281651150</v>
      </c>
      <c r="G337" s="1" t="s">
        <v>552</v>
      </c>
      <c r="H337" s="1" t="s">
        <v>1417</v>
      </c>
      <c r="I337" s="1" t="s">
        <v>1081</v>
      </c>
      <c r="J337">
        <v>2136</v>
      </c>
      <c r="K337" s="1" t="str">
        <f>VLOOKUP(uslugi41315[[#This Row],[ozn]],$A$2:$D$410,2,FALSE)</f>
        <v>olsztynski</v>
      </c>
      <c r="L337" s="1">
        <f>IF(uslugi41315[[#This Row],[powiat]]="Konin",1,0)</f>
        <v>0</v>
      </c>
      <c r="M337" s="1" t="str">
        <f>VLOOKUP(uslugi41315[[#This Row],[NIP]],nip_firm61416[],2,FALSE)</f>
        <v>MAZUTEX</v>
      </c>
    </row>
    <row r="338" spans="1:13" x14ac:dyDescent="0.25">
      <c r="A338" s="5" t="s">
        <v>902</v>
      </c>
      <c r="B338" s="6" t="s">
        <v>903</v>
      </c>
      <c r="C338" s="6" t="s">
        <v>904</v>
      </c>
      <c r="D338" s="7" t="s">
        <v>7</v>
      </c>
      <c r="F338">
        <v>5581610439</v>
      </c>
      <c r="G338" s="1" t="s">
        <v>602</v>
      </c>
      <c r="H338" s="1" t="s">
        <v>1418</v>
      </c>
      <c r="I338" s="1" t="s">
        <v>1087</v>
      </c>
      <c r="J338">
        <v>2316</v>
      </c>
      <c r="K338" s="1" t="str">
        <f>VLOOKUP(uslugi41315[[#This Row],[ozn]],$A$2:$D$410,2,FALSE)</f>
        <v>Piekary Slaskie</v>
      </c>
      <c r="L338" s="1">
        <f>IF(uslugi41315[[#This Row],[powiat]]="Konin",1,0)</f>
        <v>0</v>
      </c>
      <c r="M338" s="1" t="str">
        <f>VLOOKUP(uslugi41315[[#This Row],[NIP]],nip_firm61416[],2,FALSE)</f>
        <v>JUSTPOL</v>
      </c>
    </row>
    <row r="339" spans="1:13" x14ac:dyDescent="0.25">
      <c r="A339" s="2" t="s">
        <v>905</v>
      </c>
      <c r="B339" s="3" t="s">
        <v>906</v>
      </c>
      <c r="C339" s="3" t="s">
        <v>907</v>
      </c>
      <c r="D339" s="4" t="s">
        <v>7</v>
      </c>
    </row>
    <row r="340" spans="1:13" x14ac:dyDescent="0.25">
      <c r="A340" s="5" t="s">
        <v>908</v>
      </c>
      <c r="B340" s="6" t="s">
        <v>909</v>
      </c>
      <c r="C340" s="6" t="s">
        <v>909</v>
      </c>
      <c r="D340" s="7" t="s">
        <v>22</v>
      </c>
    </row>
    <row r="341" spans="1:13" x14ac:dyDescent="0.25">
      <c r="A341" s="2" t="s">
        <v>910</v>
      </c>
      <c r="B341" s="3" t="s">
        <v>911</v>
      </c>
      <c r="C341" s="3" t="s">
        <v>909</v>
      </c>
      <c r="D341" s="4" t="s">
        <v>7</v>
      </c>
    </row>
    <row r="342" spans="1:13" x14ac:dyDescent="0.25">
      <c r="A342" s="5" t="s">
        <v>912</v>
      </c>
      <c r="B342" s="6" t="s">
        <v>913</v>
      </c>
      <c r="C342" s="6" t="s">
        <v>914</v>
      </c>
      <c r="D342" s="7" t="s">
        <v>7</v>
      </c>
    </row>
    <row r="343" spans="1:13" x14ac:dyDescent="0.25">
      <c r="A343" s="2" t="s">
        <v>915</v>
      </c>
      <c r="B343" s="3" t="s">
        <v>916</v>
      </c>
      <c r="C343" s="3" t="s">
        <v>917</v>
      </c>
      <c r="D343" s="4" t="s">
        <v>918</v>
      </c>
    </row>
    <row r="344" spans="1:13" x14ac:dyDescent="0.25">
      <c r="A344" s="5" t="s">
        <v>919</v>
      </c>
      <c r="B344" s="6" t="s">
        <v>916</v>
      </c>
      <c r="C344" s="6" t="s">
        <v>920</v>
      </c>
      <c r="D344" s="7" t="s">
        <v>918</v>
      </c>
    </row>
    <row r="345" spans="1:13" x14ac:dyDescent="0.25">
      <c r="A345" s="2" t="s">
        <v>921</v>
      </c>
      <c r="B345" s="3" t="s">
        <v>916</v>
      </c>
      <c r="C345" s="3" t="s">
        <v>922</v>
      </c>
      <c r="D345" s="4" t="s">
        <v>918</v>
      </c>
    </row>
    <row r="346" spans="1:13" x14ac:dyDescent="0.25">
      <c r="A346" s="5" t="s">
        <v>923</v>
      </c>
      <c r="B346" s="6" t="s">
        <v>916</v>
      </c>
      <c r="C346" s="6" t="s">
        <v>924</v>
      </c>
      <c r="D346" s="7" t="s">
        <v>918</v>
      </c>
    </row>
    <row r="347" spans="1:13" x14ac:dyDescent="0.25">
      <c r="A347" s="2" t="s">
        <v>925</v>
      </c>
      <c r="B347" s="3" t="s">
        <v>916</v>
      </c>
      <c r="C347" s="3" t="s">
        <v>926</v>
      </c>
      <c r="D347" s="4" t="s">
        <v>918</v>
      </c>
    </row>
    <row r="348" spans="1:13" x14ac:dyDescent="0.25">
      <c r="A348" s="5" t="s">
        <v>927</v>
      </c>
      <c r="B348" s="6" t="s">
        <v>916</v>
      </c>
      <c r="C348" s="6" t="s">
        <v>928</v>
      </c>
      <c r="D348" s="7" t="s">
        <v>918</v>
      </c>
    </row>
    <row r="349" spans="1:13" x14ac:dyDescent="0.25">
      <c r="A349" s="2" t="s">
        <v>929</v>
      </c>
      <c r="B349" s="3" t="s">
        <v>916</v>
      </c>
      <c r="C349" s="3" t="s">
        <v>930</v>
      </c>
      <c r="D349" s="4" t="s">
        <v>918</v>
      </c>
    </row>
    <row r="350" spans="1:13" x14ac:dyDescent="0.25">
      <c r="A350" s="5" t="s">
        <v>931</v>
      </c>
      <c r="B350" s="6" t="s">
        <v>916</v>
      </c>
      <c r="C350" s="6" t="s">
        <v>932</v>
      </c>
      <c r="D350" s="7" t="s">
        <v>918</v>
      </c>
    </row>
    <row r="351" spans="1:13" x14ac:dyDescent="0.25">
      <c r="A351" s="2" t="s">
        <v>933</v>
      </c>
      <c r="B351" s="3" t="s">
        <v>916</v>
      </c>
      <c r="C351" s="3" t="s">
        <v>934</v>
      </c>
      <c r="D351" s="4" t="s">
        <v>918</v>
      </c>
    </row>
    <row r="352" spans="1:13" x14ac:dyDescent="0.25">
      <c r="A352" s="5" t="s">
        <v>935</v>
      </c>
      <c r="B352" s="6" t="s">
        <v>916</v>
      </c>
      <c r="C352" s="6" t="s">
        <v>936</v>
      </c>
      <c r="D352" s="7" t="s">
        <v>918</v>
      </c>
    </row>
    <row r="353" spans="1:4" x14ac:dyDescent="0.25">
      <c r="A353" s="2" t="s">
        <v>937</v>
      </c>
      <c r="B353" s="3" t="s">
        <v>916</v>
      </c>
      <c r="C353" s="3" t="s">
        <v>938</v>
      </c>
      <c r="D353" s="4" t="s">
        <v>918</v>
      </c>
    </row>
    <row r="354" spans="1:4" x14ac:dyDescent="0.25">
      <c r="A354" s="5" t="s">
        <v>939</v>
      </c>
      <c r="B354" s="6" t="s">
        <v>916</v>
      </c>
      <c r="C354" s="6" t="s">
        <v>940</v>
      </c>
      <c r="D354" s="7" t="s">
        <v>918</v>
      </c>
    </row>
    <row r="355" spans="1:4" x14ac:dyDescent="0.25">
      <c r="A355" s="2" t="s">
        <v>941</v>
      </c>
      <c r="B355" s="3" t="s">
        <v>916</v>
      </c>
      <c r="C355" s="3" t="s">
        <v>942</v>
      </c>
      <c r="D355" s="4" t="s">
        <v>918</v>
      </c>
    </row>
    <row r="356" spans="1:4" x14ac:dyDescent="0.25">
      <c r="A356" s="5" t="s">
        <v>943</v>
      </c>
      <c r="B356" s="6" t="s">
        <v>916</v>
      </c>
      <c r="C356" s="6" t="s">
        <v>944</v>
      </c>
      <c r="D356" s="7" t="s">
        <v>918</v>
      </c>
    </row>
    <row r="357" spans="1:4" x14ac:dyDescent="0.25">
      <c r="A357" s="2" t="s">
        <v>945</v>
      </c>
      <c r="B357" s="3" t="s">
        <v>916</v>
      </c>
      <c r="C357" s="3" t="s">
        <v>944</v>
      </c>
      <c r="D357" s="4" t="s">
        <v>918</v>
      </c>
    </row>
    <row r="358" spans="1:4" x14ac:dyDescent="0.25">
      <c r="A358" s="5" t="s">
        <v>946</v>
      </c>
      <c r="B358" s="6" t="s">
        <v>916</v>
      </c>
      <c r="C358" s="6" t="s">
        <v>944</v>
      </c>
      <c r="D358" s="7" t="s">
        <v>918</v>
      </c>
    </row>
    <row r="359" spans="1:4" x14ac:dyDescent="0.25">
      <c r="A359" s="2" t="s">
        <v>947</v>
      </c>
      <c r="B359" s="3" t="s">
        <v>916</v>
      </c>
      <c r="C359" s="3" t="s">
        <v>944</v>
      </c>
      <c r="D359" s="4" t="s">
        <v>918</v>
      </c>
    </row>
    <row r="360" spans="1:4" x14ac:dyDescent="0.25">
      <c r="A360" s="5" t="s">
        <v>948</v>
      </c>
      <c r="B360" s="6" t="s">
        <v>916</v>
      </c>
      <c r="C360" s="6" t="s">
        <v>949</v>
      </c>
      <c r="D360" s="7" t="s">
        <v>918</v>
      </c>
    </row>
    <row r="361" spans="1:4" x14ac:dyDescent="0.25">
      <c r="A361" s="2" t="s">
        <v>950</v>
      </c>
      <c r="B361" s="3" t="s">
        <v>916</v>
      </c>
      <c r="C361" s="3" t="s">
        <v>949</v>
      </c>
      <c r="D361" s="4" t="s">
        <v>918</v>
      </c>
    </row>
    <row r="362" spans="1:4" x14ac:dyDescent="0.25">
      <c r="A362" s="5" t="s">
        <v>951</v>
      </c>
      <c r="B362" s="6" t="s">
        <v>916</v>
      </c>
      <c r="C362" s="6" t="s">
        <v>949</v>
      </c>
      <c r="D362" s="7" t="s">
        <v>918</v>
      </c>
    </row>
    <row r="363" spans="1:4" x14ac:dyDescent="0.25">
      <c r="A363" s="2" t="s">
        <v>952</v>
      </c>
      <c r="B363" s="3" t="s">
        <v>916</v>
      </c>
      <c r="C363" s="3" t="s">
        <v>949</v>
      </c>
      <c r="D363" s="4" t="s">
        <v>918</v>
      </c>
    </row>
    <row r="364" spans="1:4" x14ac:dyDescent="0.25">
      <c r="A364" s="5" t="s">
        <v>953</v>
      </c>
      <c r="B364" s="6" t="s">
        <v>916</v>
      </c>
      <c r="C364" s="6" t="s">
        <v>949</v>
      </c>
      <c r="D364" s="7" t="s">
        <v>918</v>
      </c>
    </row>
    <row r="365" spans="1:4" x14ac:dyDescent="0.25">
      <c r="A365" s="2" t="s">
        <v>954</v>
      </c>
      <c r="B365" s="3" t="s">
        <v>916</v>
      </c>
      <c r="C365" s="3" t="s">
        <v>949</v>
      </c>
      <c r="D365" s="4" t="s">
        <v>918</v>
      </c>
    </row>
    <row r="366" spans="1:4" x14ac:dyDescent="0.25">
      <c r="A366" s="5" t="s">
        <v>955</v>
      </c>
      <c r="B366" s="6" t="s">
        <v>916</v>
      </c>
      <c r="C366" s="6" t="s">
        <v>949</v>
      </c>
      <c r="D366" s="7" t="s">
        <v>918</v>
      </c>
    </row>
    <row r="367" spans="1:4" x14ac:dyDescent="0.25">
      <c r="A367" s="2" t="s">
        <v>956</v>
      </c>
      <c r="B367" s="3" t="s">
        <v>916</v>
      </c>
      <c r="C367" s="3" t="s">
        <v>957</v>
      </c>
      <c r="D367" s="4" t="s">
        <v>918</v>
      </c>
    </row>
    <row r="368" spans="1:4" x14ac:dyDescent="0.25">
      <c r="A368" s="5" t="s">
        <v>958</v>
      </c>
      <c r="B368" s="6" t="s">
        <v>916</v>
      </c>
      <c r="C368" s="6" t="s">
        <v>959</v>
      </c>
      <c r="D368" s="7" t="s">
        <v>918</v>
      </c>
    </row>
    <row r="369" spans="1:4" x14ac:dyDescent="0.25">
      <c r="A369" s="2" t="s">
        <v>960</v>
      </c>
      <c r="B369" s="3" t="s">
        <v>961</v>
      </c>
      <c r="C369" s="3" t="s">
        <v>962</v>
      </c>
      <c r="D369" s="4" t="s">
        <v>7</v>
      </c>
    </row>
    <row r="370" spans="1:4" x14ac:dyDescent="0.25">
      <c r="A370" s="5" t="s">
        <v>963</v>
      </c>
      <c r="B370" s="6" t="s">
        <v>964</v>
      </c>
      <c r="C370" s="6" t="s">
        <v>965</v>
      </c>
      <c r="D370" s="7" t="s">
        <v>7</v>
      </c>
    </row>
    <row r="371" spans="1:4" x14ac:dyDescent="0.25">
      <c r="A371" s="2" t="s">
        <v>966</v>
      </c>
      <c r="B371" s="3" t="s">
        <v>967</v>
      </c>
      <c r="C371" s="3" t="s">
        <v>968</v>
      </c>
      <c r="D371" s="4" t="s">
        <v>7</v>
      </c>
    </row>
    <row r="372" spans="1:4" x14ac:dyDescent="0.25">
      <c r="A372" s="5" t="s">
        <v>969</v>
      </c>
      <c r="B372" s="6" t="s">
        <v>970</v>
      </c>
      <c r="C372" s="6" t="s">
        <v>971</v>
      </c>
      <c r="D372" s="7" t="s">
        <v>7</v>
      </c>
    </row>
    <row r="373" spans="1:4" x14ac:dyDescent="0.25">
      <c r="A373" s="2" t="s">
        <v>972</v>
      </c>
      <c r="B373" s="3" t="s">
        <v>973</v>
      </c>
      <c r="C373" s="3" t="s">
        <v>974</v>
      </c>
      <c r="D373" s="4" t="s">
        <v>7</v>
      </c>
    </row>
    <row r="374" spans="1:4" x14ac:dyDescent="0.25">
      <c r="A374" s="5" t="s">
        <v>975</v>
      </c>
      <c r="B374" s="6" t="s">
        <v>976</v>
      </c>
      <c r="C374" s="6" t="s">
        <v>977</v>
      </c>
      <c r="D374" s="7" t="s">
        <v>7</v>
      </c>
    </row>
    <row r="375" spans="1:4" x14ac:dyDescent="0.25">
      <c r="A375" s="2" t="s">
        <v>978</v>
      </c>
      <c r="B375" s="3" t="s">
        <v>979</v>
      </c>
      <c r="C375" s="3" t="s">
        <v>980</v>
      </c>
      <c r="D375" s="4" t="s">
        <v>7</v>
      </c>
    </row>
    <row r="376" spans="1:4" x14ac:dyDescent="0.25">
      <c r="A376" s="5" t="s">
        <v>981</v>
      </c>
      <c r="B376" s="6" t="s">
        <v>982</v>
      </c>
      <c r="C376" s="6" t="s">
        <v>982</v>
      </c>
      <c r="D376" s="7" t="s">
        <v>22</v>
      </c>
    </row>
    <row r="377" spans="1:4" x14ac:dyDescent="0.25">
      <c r="A377" s="2" t="s">
        <v>983</v>
      </c>
      <c r="B377" s="3" t="s">
        <v>984</v>
      </c>
      <c r="C377" s="3" t="s">
        <v>982</v>
      </c>
      <c r="D377" s="4" t="s">
        <v>7</v>
      </c>
    </row>
    <row r="378" spans="1:4" x14ac:dyDescent="0.25">
      <c r="A378" s="5" t="s">
        <v>985</v>
      </c>
      <c r="B378" s="6" t="s">
        <v>986</v>
      </c>
      <c r="C378" s="6" t="s">
        <v>987</v>
      </c>
      <c r="D378" s="7" t="s">
        <v>7</v>
      </c>
    </row>
    <row r="379" spans="1:4" x14ac:dyDescent="0.25">
      <c r="A379" s="2" t="s">
        <v>988</v>
      </c>
      <c r="B379" s="3" t="s">
        <v>989</v>
      </c>
      <c r="C379" s="3" t="s">
        <v>990</v>
      </c>
      <c r="D379" s="4" t="s">
        <v>7</v>
      </c>
    </row>
    <row r="380" spans="1:4" x14ac:dyDescent="0.25">
      <c r="A380" s="5" t="s">
        <v>991</v>
      </c>
      <c r="B380" s="6" t="s">
        <v>992</v>
      </c>
      <c r="C380" s="6" t="s">
        <v>993</v>
      </c>
      <c r="D380" s="7" t="s">
        <v>7</v>
      </c>
    </row>
    <row r="381" spans="1:4" x14ac:dyDescent="0.25">
      <c r="A381" s="2" t="s">
        <v>994</v>
      </c>
      <c r="B381" s="3" t="s">
        <v>995</v>
      </c>
      <c r="C381" s="3" t="s">
        <v>996</v>
      </c>
      <c r="D381" s="4" t="s">
        <v>7</v>
      </c>
    </row>
    <row r="382" spans="1:4" x14ac:dyDescent="0.25">
      <c r="A382" s="5" t="s">
        <v>997</v>
      </c>
      <c r="B382" s="6" t="s">
        <v>998</v>
      </c>
      <c r="C382" s="6" t="s">
        <v>999</v>
      </c>
      <c r="D382" s="7" t="s">
        <v>7</v>
      </c>
    </row>
    <row r="383" spans="1:4" x14ac:dyDescent="0.25">
      <c r="A383" s="2" t="s">
        <v>1000</v>
      </c>
      <c r="B383" s="3" t="s">
        <v>1001</v>
      </c>
      <c r="C383" s="3" t="s">
        <v>1002</v>
      </c>
      <c r="D383" s="4" t="s">
        <v>7</v>
      </c>
    </row>
    <row r="384" spans="1:4" x14ac:dyDescent="0.25">
      <c r="A384" s="5" t="s">
        <v>1003</v>
      </c>
      <c r="B384" s="6" t="s">
        <v>1004</v>
      </c>
      <c r="C384" s="6" t="s">
        <v>1004</v>
      </c>
      <c r="D384" s="7" t="s">
        <v>22</v>
      </c>
    </row>
    <row r="385" spans="1:4" x14ac:dyDescent="0.25">
      <c r="A385" s="2" t="s">
        <v>1005</v>
      </c>
      <c r="B385" s="3" t="s">
        <v>1006</v>
      </c>
      <c r="C385" s="3" t="s">
        <v>1004</v>
      </c>
      <c r="D385" s="4" t="s">
        <v>7</v>
      </c>
    </row>
    <row r="386" spans="1:4" x14ac:dyDescent="0.25">
      <c r="A386" s="5" t="s">
        <v>1007</v>
      </c>
      <c r="B386" s="6" t="s">
        <v>1008</v>
      </c>
      <c r="C386" s="6" t="s">
        <v>1009</v>
      </c>
      <c r="D386" s="7" t="s">
        <v>7</v>
      </c>
    </row>
    <row r="387" spans="1:4" x14ac:dyDescent="0.25">
      <c r="A387" s="2" t="s">
        <v>1010</v>
      </c>
      <c r="B387" s="3" t="s">
        <v>1011</v>
      </c>
      <c r="C387" s="3" t="s">
        <v>1012</v>
      </c>
      <c r="D387" s="4" t="s">
        <v>7</v>
      </c>
    </row>
    <row r="388" spans="1:4" x14ac:dyDescent="0.25">
      <c r="A388" s="5" t="s">
        <v>1013</v>
      </c>
      <c r="B388" s="6" t="s">
        <v>1014</v>
      </c>
      <c r="C388" s="6" t="s">
        <v>1015</v>
      </c>
      <c r="D388" s="7" t="s">
        <v>7</v>
      </c>
    </row>
    <row r="389" spans="1:4" x14ac:dyDescent="0.25">
      <c r="A389" s="2" t="s">
        <v>1016</v>
      </c>
      <c r="B389" s="3" t="s">
        <v>1017</v>
      </c>
      <c r="C389" s="3" t="s">
        <v>1018</v>
      </c>
      <c r="D389" s="4" t="s">
        <v>7</v>
      </c>
    </row>
    <row r="390" spans="1:4" x14ac:dyDescent="0.25">
      <c r="A390" s="5" t="s">
        <v>1019</v>
      </c>
      <c r="B390" s="6" t="s">
        <v>1020</v>
      </c>
      <c r="C390" s="6" t="s">
        <v>1021</v>
      </c>
      <c r="D390" s="7" t="s">
        <v>7</v>
      </c>
    </row>
    <row r="391" spans="1:4" x14ac:dyDescent="0.25">
      <c r="A391" s="2" t="s">
        <v>1022</v>
      </c>
      <c r="B391" s="3" t="s">
        <v>1023</v>
      </c>
      <c r="C391" s="3" t="s">
        <v>1023</v>
      </c>
      <c r="D391" s="4" t="s">
        <v>22</v>
      </c>
    </row>
    <row r="392" spans="1:4" x14ac:dyDescent="0.25">
      <c r="A392" s="5" t="s">
        <v>1024</v>
      </c>
      <c r="B392" s="6" t="s">
        <v>1025</v>
      </c>
      <c r="C392" s="6" t="s">
        <v>1026</v>
      </c>
      <c r="D392" s="7" t="s">
        <v>7</v>
      </c>
    </row>
    <row r="393" spans="1:4" x14ac:dyDescent="0.25">
      <c r="A393" s="2" t="s">
        <v>1027</v>
      </c>
      <c r="B393" s="3" t="s">
        <v>1028</v>
      </c>
      <c r="C393" s="3" t="s">
        <v>1029</v>
      </c>
      <c r="D393" s="4" t="s">
        <v>7</v>
      </c>
    </row>
    <row r="394" spans="1:4" x14ac:dyDescent="0.25">
      <c r="A394" s="5" t="s">
        <v>1030</v>
      </c>
      <c r="B394" s="6" t="s">
        <v>1031</v>
      </c>
      <c r="C394" s="6" t="s">
        <v>1032</v>
      </c>
      <c r="D394" s="7" t="s">
        <v>7</v>
      </c>
    </row>
    <row r="395" spans="1:4" x14ac:dyDescent="0.25">
      <c r="A395" s="2" t="s">
        <v>1033</v>
      </c>
      <c r="B395" s="3" t="s">
        <v>1032</v>
      </c>
      <c r="C395" s="3" t="s">
        <v>1032</v>
      </c>
      <c r="D395" s="4" t="s">
        <v>22</v>
      </c>
    </row>
    <row r="396" spans="1:4" x14ac:dyDescent="0.25">
      <c r="A396" s="5" t="s">
        <v>1034</v>
      </c>
      <c r="B396" s="6" t="s">
        <v>1035</v>
      </c>
      <c r="C396" s="6" t="s">
        <v>1036</v>
      </c>
      <c r="D396" s="7" t="s">
        <v>7</v>
      </c>
    </row>
    <row r="397" spans="1:4" x14ac:dyDescent="0.25">
      <c r="A397" s="2" t="s">
        <v>1037</v>
      </c>
      <c r="B397" s="3" t="s">
        <v>1038</v>
      </c>
      <c r="C397" s="3" t="s">
        <v>1039</v>
      </c>
      <c r="D397" s="4" t="s">
        <v>7</v>
      </c>
    </row>
    <row r="398" spans="1:4" x14ac:dyDescent="0.25">
      <c r="A398" s="5" t="s">
        <v>1040</v>
      </c>
      <c r="B398" s="6" t="s">
        <v>1041</v>
      </c>
      <c r="C398" s="6" t="s">
        <v>1042</v>
      </c>
      <c r="D398" s="7" t="s">
        <v>7</v>
      </c>
    </row>
    <row r="399" spans="1:4" x14ac:dyDescent="0.25">
      <c r="A399" s="2" t="s">
        <v>1043</v>
      </c>
      <c r="B399" s="3" t="s">
        <v>1044</v>
      </c>
      <c r="C399" s="3" t="s">
        <v>1045</v>
      </c>
      <c r="D399" s="4" t="s">
        <v>7</v>
      </c>
    </row>
    <row r="400" spans="1:4" x14ac:dyDescent="0.25">
      <c r="A400" s="5" t="s">
        <v>1046</v>
      </c>
      <c r="B400" s="6" t="s">
        <v>1047</v>
      </c>
      <c r="C400" s="6" t="s">
        <v>1048</v>
      </c>
      <c r="D400" s="7" t="s">
        <v>7</v>
      </c>
    </row>
    <row r="401" spans="1:4" x14ac:dyDescent="0.25">
      <c r="A401" s="2" t="s">
        <v>1049</v>
      </c>
      <c r="B401" s="3" t="s">
        <v>1050</v>
      </c>
      <c r="C401" s="3" t="s">
        <v>1050</v>
      </c>
      <c r="D401" s="4" t="s">
        <v>22</v>
      </c>
    </row>
    <row r="402" spans="1:4" x14ac:dyDescent="0.25">
      <c r="A402" s="5" t="s">
        <v>1051</v>
      </c>
      <c r="B402" s="6" t="s">
        <v>1052</v>
      </c>
      <c r="C402" s="6" t="s">
        <v>1050</v>
      </c>
      <c r="D402" s="7" t="s">
        <v>7</v>
      </c>
    </row>
    <row r="403" spans="1:4" x14ac:dyDescent="0.25">
      <c r="A403" s="2" t="s">
        <v>1053</v>
      </c>
      <c r="B403" s="3" t="s">
        <v>1054</v>
      </c>
      <c r="C403" s="3" t="s">
        <v>1055</v>
      </c>
      <c r="D403" s="4" t="s">
        <v>7</v>
      </c>
    </row>
    <row r="404" spans="1:4" x14ac:dyDescent="0.25">
      <c r="A404" s="5" t="s">
        <v>1056</v>
      </c>
      <c r="B404" s="6" t="s">
        <v>1057</v>
      </c>
      <c r="C404" s="6" t="s">
        <v>1058</v>
      </c>
      <c r="D404" s="7" t="s">
        <v>7</v>
      </c>
    </row>
    <row r="405" spans="1:4" x14ac:dyDescent="0.25">
      <c r="A405" s="2" t="s">
        <v>1059</v>
      </c>
      <c r="B405" s="3" t="s">
        <v>1060</v>
      </c>
      <c r="C405" s="3" t="s">
        <v>1061</v>
      </c>
      <c r="D405" s="4" t="s">
        <v>7</v>
      </c>
    </row>
    <row r="406" spans="1:4" x14ac:dyDescent="0.25">
      <c r="A406" s="5" t="s">
        <v>1062</v>
      </c>
      <c r="B406" s="6" t="s">
        <v>1063</v>
      </c>
      <c r="C406" s="6" t="s">
        <v>1063</v>
      </c>
      <c r="D406" s="7" t="s">
        <v>22</v>
      </c>
    </row>
    <row r="407" spans="1:4" x14ac:dyDescent="0.25">
      <c r="A407" s="2" t="s">
        <v>1064</v>
      </c>
      <c r="B407" s="3" t="s">
        <v>1065</v>
      </c>
      <c r="C407" s="3" t="s">
        <v>1066</v>
      </c>
      <c r="D407" s="4" t="s">
        <v>7</v>
      </c>
    </row>
    <row r="408" spans="1:4" x14ac:dyDescent="0.25">
      <c r="A408" s="5" t="s">
        <v>1067</v>
      </c>
      <c r="B408" s="6" t="s">
        <v>1068</v>
      </c>
      <c r="C408" s="6" t="s">
        <v>1069</v>
      </c>
      <c r="D408" s="7" t="s">
        <v>7</v>
      </c>
    </row>
    <row r="409" spans="1:4" x14ac:dyDescent="0.25">
      <c r="A409" s="2" t="s">
        <v>1070</v>
      </c>
      <c r="B409" s="3" t="s">
        <v>1071</v>
      </c>
      <c r="C409" s="3" t="s">
        <v>1072</v>
      </c>
      <c r="D409" s="4" t="s">
        <v>7</v>
      </c>
    </row>
    <row r="410" spans="1:4" x14ac:dyDescent="0.25">
      <c r="A410" s="5" t="s">
        <v>1073</v>
      </c>
      <c r="B410" s="6" t="s">
        <v>1074</v>
      </c>
      <c r="C410" s="6" t="s">
        <v>1075</v>
      </c>
      <c r="D410" s="7" t="s">
        <v>7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27A7-205B-4EA5-8E9E-FB1666C344D1}">
  <dimension ref="A1:S410"/>
  <sheetViews>
    <sheetView topLeftCell="C1" workbookViewId="0">
      <selection activeCell="R3" sqref="R3:R26"/>
    </sheetView>
  </sheetViews>
  <sheetFormatPr defaultRowHeight="15" x14ac:dyDescent="0.25"/>
  <cols>
    <col min="1" max="1" width="8.28515625" bestFit="1" customWidth="1"/>
    <col min="2" max="3" width="22.85546875" bestFit="1" customWidth="1"/>
    <col min="4" max="4" width="6.42578125" bestFit="1" customWidth="1"/>
    <col min="6" max="6" width="11" bestFit="1" customWidth="1"/>
    <col min="7" max="7" width="6.42578125" bestFit="1" customWidth="1"/>
    <col min="8" max="8" width="7.5703125" bestFit="1" customWidth="1"/>
    <col min="9" max="9" width="15" bestFit="1" customWidth="1"/>
    <col min="10" max="10" width="6.7109375" bestFit="1" customWidth="1"/>
    <col min="11" max="11" width="14.28515625" bestFit="1" customWidth="1"/>
    <col min="12" max="12" width="11" bestFit="1" customWidth="1"/>
    <col min="13" max="13" width="21.42578125" bestFit="1" customWidth="1"/>
    <col min="18" max="18" width="18.28515625" bestFit="1" customWidth="1"/>
    <col min="19" max="19" width="4.28515625" bestFit="1" customWidth="1"/>
  </cols>
  <sheetData>
    <row r="1" spans="1:19" x14ac:dyDescent="0.25">
      <c r="A1" s="2" t="s">
        <v>0</v>
      </c>
      <c r="B1" s="3" t="s">
        <v>1</v>
      </c>
      <c r="C1" s="3" t="s">
        <v>2</v>
      </c>
      <c r="D1" s="4" t="s">
        <v>3</v>
      </c>
      <c r="F1" t="s">
        <v>1076</v>
      </c>
      <c r="G1" t="s">
        <v>0</v>
      </c>
      <c r="H1" t="s">
        <v>1077</v>
      </c>
      <c r="I1" t="s">
        <v>1078</v>
      </c>
      <c r="J1" t="s">
        <v>1079</v>
      </c>
      <c r="K1" t="s">
        <v>1</v>
      </c>
      <c r="L1" t="s">
        <v>1507</v>
      </c>
      <c r="N1" t="s">
        <v>1076</v>
      </c>
      <c r="O1" t="s">
        <v>1419</v>
      </c>
      <c r="R1" s="8" t="s">
        <v>1507</v>
      </c>
      <c r="S1" s="9">
        <v>1</v>
      </c>
    </row>
    <row r="2" spans="1:19" x14ac:dyDescent="0.25">
      <c r="A2" s="5" t="s">
        <v>4</v>
      </c>
      <c r="B2" s="6" t="s">
        <v>5</v>
      </c>
      <c r="C2" s="6" t="s">
        <v>6</v>
      </c>
      <c r="D2" s="7" t="s">
        <v>7</v>
      </c>
      <c r="F2">
        <v>6727559092</v>
      </c>
      <c r="G2" s="1" t="s">
        <v>869</v>
      </c>
      <c r="H2" s="1" t="s">
        <v>1080</v>
      </c>
      <c r="I2" s="1" t="s">
        <v>1081</v>
      </c>
      <c r="J2">
        <v>1240</v>
      </c>
      <c r="K2" s="1" t="str">
        <f>VLOOKUP(uslugi413[[#This Row],[ozn]],$A$2:$D$410,2,FALSE)</f>
        <v>tarnowski</v>
      </c>
      <c r="L2" s="1">
        <f>IF(VLOOKUP(uslugi413[[#This Row],[ozn]],$A$2:$D$410,4,FALSE)="z",1,0)</f>
        <v>1</v>
      </c>
      <c r="N2">
        <v>2394072755</v>
      </c>
      <c r="O2" s="1" t="s">
        <v>1420</v>
      </c>
    </row>
    <row r="3" spans="1:19" x14ac:dyDescent="0.25">
      <c r="A3" s="2" t="s">
        <v>8</v>
      </c>
      <c r="B3" s="3" t="s">
        <v>9</v>
      </c>
      <c r="C3" s="3" t="s">
        <v>10</v>
      </c>
      <c r="D3" s="4" t="s">
        <v>7</v>
      </c>
      <c r="F3">
        <v>3866883575</v>
      </c>
      <c r="G3" s="1" t="s">
        <v>434</v>
      </c>
      <c r="H3" s="1" t="s">
        <v>1082</v>
      </c>
      <c r="I3" s="1" t="s">
        <v>1081</v>
      </c>
      <c r="J3">
        <v>3022</v>
      </c>
      <c r="K3" s="1" t="str">
        <f>VLOOKUP(uslugi413[[#This Row],[ozn]],$A$2:$D$410,2,FALSE)</f>
        <v>Lublin</v>
      </c>
      <c r="L3" s="1">
        <f>IF(VLOOKUP(uslugi413[[#This Row],[ozn]],$A$2:$D$410,4,FALSE)="z",1,0)</f>
        <v>0</v>
      </c>
      <c r="N3">
        <v>1599095267</v>
      </c>
      <c r="O3" s="1" t="s">
        <v>1421</v>
      </c>
      <c r="R3" s="13" t="s">
        <v>1508</v>
      </c>
    </row>
    <row r="4" spans="1:19" x14ac:dyDescent="0.25">
      <c r="A4" s="5" t="s">
        <v>11</v>
      </c>
      <c r="B4" s="6" t="s">
        <v>12</v>
      </c>
      <c r="C4" s="6" t="s">
        <v>13</v>
      </c>
      <c r="D4" s="7" t="s">
        <v>7</v>
      </c>
      <c r="F4">
        <v>1165493421</v>
      </c>
      <c r="G4" s="1" t="s">
        <v>14</v>
      </c>
      <c r="H4" s="1" t="s">
        <v>1083</v>
      </c>
      <c r="I4" s="1" t="s">
        <v>1081</v>
      </c>
      <c r="J4">
        <v>1770</v>
      </c>
      <c r="K4" s="1" t="str">
        <f>VLOOKUP(uslugi413[[#This Row],[ozn]],$A$2:$D$410,2,FALSE)</f>
        <v>bedzinski</v>
      </c>
      <c r="L4" s="1">
        <f>IF(VLOOKUP(uslugi413[[#This Row],[ozn]],$A$2:$D$410,4,FALSE)="z",1,0)</f>
        <v>1</v>
      </c>
      <c r="N4">
        <v>5341884086</v>
      </c>
      <c r="O4" s="1" t="s">
        <v>1422</v>
      </c>
      <c r="R4" s="11" t="s">
        <v>15</v>
      </c>
    </row>
    <row r="5" spans="1:19" x14ac:dyDescent="0.25">
      <c r="A5" s="2" t="s">
        <v>14</v>
      </c>
      <c r="B5" s="3" t="s">
        <v>15</v>
      </c>
      <c r="C5" s="3" t="s">
        <v>16</v>
      </c>
      <c r="D5" s="4" t="s">
        <v>7</v>
      </c>
      <c r="F5">
        <v>2138598159</v>
      </c>
      <c r="G5" s="1" t="s">
        <v>143</v>
      </c>
      <c r="H5" s="1" t="s">
        <v>1084</v>
      </c>
      <c r="I5" s="1" t="s">
        <v>1081</v>
      </c>
      <c r="J5">
        <v>2272</v>
      </c>
      <c r="K5" s="1" t="str">
        <f>VLOOKUP(uslugi413[[#This Row],[ozn]],$A$2:$D$410,2,FALSE)</f>
        <v>elcki</v>
      </c>
      <c r="L5" s="1">
        <f>IF(VLOOKUP(uslugi413[[#This Row],[ozn]],$A$2:$D$410,4,FALSE)="z",1,0)</f>
        <v>1</v>
      </c>
      <c r="N5">
        <v>1818291355</v>
      </c>
      <c r="O5" s="1" t="s">
        <v>1423</v>
      </c>
      <c r="R5" s="11" t="s">
        <v>30</v>
      </c>
    </row>
    <row r="6" spans="1:19" x14ac:dyDescent="0.25">
      <c r="A6" s="5" t="s">
        <v>17</v>
      </c>
      <c r="B6" s="6" t="s">
        <v>18</v>
      </c>
      <c r="C6" s="6" t="s">
        <v>19</v>
      </c>
      <c r="D6" s="7" t="s">
        <v>7</v>
      </c>
      <c r="F6">
        <v>1617995032</v>
      </c>
      <c r="G6" s="1" t="s">
        <v>892</v>
      </c>
      <c r="H6" s="1" t="s">
        <v>1085</v>
      </c>
      <c r="I6" s="1" t="s">
        <v>1081</v>
      </c>
      <c r="J6">
        <v>2253</v>
      </c>
      <c r="K6" s="1" t="str">
        <f>VLOOKUP(uslugi413[[#This Row],[ozn]],$A$2:$D$410,2,FALSE)</f>
        <v>turecki</v>
      </c>
      <c r="L6" s="1">
        <f>IF(VLOOKUP(uslugi413[[#This Row],[ozn]],$A$2:$D$410,4,FALSE)="z",1,0)</f>
        <v>1</v>
      </c>
      <c r="N6">
        <v>1361555378</v>
      </c>
      <c r="O6" s="1" t="s">
        <v>1424</v>
      </c>
      <c r="R6" s="11" t="s">
        <v>57</v>
      </c>
    </row>
    <row r="7" spans="1:19" x14ac:dyDescent="0.25">
      <c r="A7" s="2" t="s">
        <v>20</v>
      </c>
      <c r="B7" s="3" t="s">
        <v>21</v>
      </c>
      <c r="C7" s="3" t="s">
        <v>21</v>
      </c>
      <c r="D7" s="4" t="s">
        <v>22</v>
      </c>
      <c r="F7">
        <v>2625657803</v>
      </c>
      <c r="G7" s="1" t="s">
        <v>14</v>
      </c>
      <c r="H7" s="1" t="s">
        <v>1086</v>
      </c>
      <c r="I7" s="1" t="s">
        <v>1087</v>
      </c>
      <c r="J7">
        <v>2349</v>
      </c>
      <c r="K7" s="1" t="str">
        <f>VLOOKUP(uslugi413[[#This Row],[ozn]],$A$2:$D$410,2,FALSE)</f>
        <v>bedzinski</v>
      </c>
      <c r="L7" s="1">
        <f>IF(VLOOKUP(uslugi413[[#This Row],[ozn]],$A$2:$D$410,4,FALSE)="z",1,0)</f>
        <v>1</v>
      </c>
      <c r="N7">
        <v>2869229213</v>
      </c>
      <c r="O7" s="1" t="s">
        <v>1425</v>
      </c>
      <c r="R7" s="11" t="s">
        <v>74</v>
      </c>
    </row>
    <row r="8" spans="1:19" x14ac:dyDescent="0.25">
      <c r="A8" s="5" t="s">
        <v>23</v>
      </c>
      <c r="B8" s="6" t="s">
        <v>24</v>
      </c>
      <c r="C8" s="6" t="s">
        <v>25</v>
      </c>
      <c r="D8" s="7" t="s">
        <v>7</v>
      </c>
      <c r="F8">
        <v>6758177505</v>
      </c>
      <c r="G8" s="1" t="s">
        <v>869</v>
      </c>
      <c r="H8" s="1" t="s">
        <v>1088</v>
      </c>
      <c r="I8" s="1" t="s">
        <v>1087</v>
      </c>
      <c r="J8">
        <v>2154</v>
      </c>
      <c r="K8" s="1" t="str">
        <f>VLOOKUP(uslugi413[[#This Row],[ozn]],$A$2:$D$410,2,FALSE)</f>
        <v>tarnowski</v>
      </c>
      <c r="L8" s="1">
        <f>IF(VLOOKUP(uslugi413[[#This Row],[ozn]],$A$2:$D$410,4,FALSE)="z",1,0)</f>
        <v>1</v>
      </c>
      <c r="N8">
        <v>5528435390</v>
      </c>
      <c r="O8" s="1" t="s">
        <v>1426</v>
      </c>
      <c r="R8" s="11" t="s">
        <v>142</v>
      </c>
    </row>
    <row r="9" spans="1:19" x14ac:dyDescent="0.25">
      <c r="A9" s="2" t="s">
        <v>26</v>
      </c>
      <c r="B9" s="3" t="s">
        <v>27</v>
      </c>
      <c r="C9" s="3" t="s">
        <v>28</v>
      </c>
      <c r="D9" s="4" t="s">
        <v>7</v>
      </c>
      <c r="F9">
        <v>4531538788</v>
      </c>
      <c r="G9" s="1" t="s">
        <v>14</v>
      </c>
      <c r="H9" s="1" t="s">
        <v>1089</v>
      </c>
      <c r="I9" s="1" t="s">
        <v>1081</v>
      </c>
      <c r="J9">
        <v>2385</v>
      </c>
      <c r="K9" s="1" t="str">
        <f>VLOOKUP(uslugi413[[#This Row],[ozn]],$A$2:$D$410,2,FALSE)</f>
        <v>bedzinski</v>
      </c>
      <c r="L9" s="1">
        <f>IF(VLOOKUP(uslugi413[[#This Row],[ozn]],$A$2:$D$410,4,FALSE)="z",1,0)</f>
        <v>1</v>
      </c>
      <c r="N9">
        <v>2625657803</v>
      </c>
      <c r="O9" s="1" t="s">
        <v>1427</v>
      </c>
      <c r="R9" s="11" t="s">
        <v>144</v>
      </c>
    </row>
    <row r="10" spans="1:19" x14ac:dyDescent="0.25">
      <c r="A10" s="5" t="s">
        <v>29</v>
      </c>
      <c r="B10" s="6" t="s">
        <v>30</v>
      </c>
      <c r="C10" s="6" t="s">
        <v>31</v>
      </c>
      <c r="D10" s="7" t="s">
        <v>7</v>
      </c>
      <c r="F10">
        <v>2138598159</v>
      </c>
      <c r="G10" s="1" t="s">
        <v>143</v>
      </c>
      <c r="H10" s="1" t="s">
        <v>1090</v>
      </c>
      <c r="I10" s="1" t="s">
        <v>1087</v>
      </c>
      <c r="J10">
        <v>2370</v>
      </c>
      <c r="K10" s="1" t="str">
        <f>VLOOKUP(uslugi413[[#This Row],[ozn]],$A$2:$D$410,2,FALSE)</f>
        <v>elcki</v>
      </c>
      <c r="L10" s="1">
        <f>IF(VLOOKUP(uslugi413[[#This Row],[ozn]],$A$2:$D$410,4,FALSE)="z",1,0)</f>
        <v>1</v>
      </c>
      <c r="N10">
        <v>1871447797</v>
      </c>
      <c r="O10" s="1" t="s">
        <v>1428</v>
      </c>
      <c r="R10" s="11" t="s">
        <v>185</v>
      </c>
    </row>
    <row r="11" spans="1:19" x14ac:dyDescent="0.25">
      <c r="A11" s="2" t="s">
        <v>32</v>
      </c>
      <c r="B11" s="3" t="s">
        <v>33</v>
      </c>
      <c r="C11" s="3" t="s">
        <v>21</v>
      </c>
      <c r="D11" s="4" t="s">
        <v>7</v>
      </c>
      <c r="F11">
        <v>1818291355</v>
      </c>
      <c r="G11" s="1" t="s">
        <v>14</v>
      </c>
      <c r="H11" s="1" t="s">
        <v>1091</v>
      </c>
      <c r="I11" s="1" t="s">
        <v>1081</v>
      </c>
      <c r="J11">
        <v>1862</v>
      </c>
      <c r="K11" s="1" t="str">
        <f>VLOOKUP(uslugi413[[#This Row],[ozn]],$A$2:$D$410,2,FALSE)</f>
        <v>bedzinski</v>
      </c>
      <c r="L11" s="1">
        <f>IF(VLOOKUP(uslugi413[[#This Row],[ozn]],$A$2:$D$410,4,FALSE)="z",1,0)</f>
        <v>1</v>
      </c>
      <c r="N11">
        <v>4241680809</v>
      </c>
      <c r="O11" s="1" t="s">
        <v>1429</v>
      </c>
      <c r="R11" s="11" t="s">
        <v>256</v>
      </c>
    </row>
    <row r="12" spans="1:19" x14ac:dyDescent="0.25">
      <c r="A12" s="5" t="s">
        <v>34</v>
      </c>
      <c r="B12" s="6" t="s">
        <v>31</v>
      </c>
      <c r="C12" s="6" t="s">
        <v>31</v>
      </c>
      <c r="D12" s="7" t="s">
        <v>22</v>
      </c>
      <c r="F12">
        <v>2599394621</v>
      </c>
      <c r="G12" s="1" t="s">
        <v>14</v>
      </c>
      <c r="H12" s="1" t="s">
        <v>1092</v>
      </c>
      <c r="I12" s="1" t="s">
        <v>1087</v>
      </c>
      <c r="J12">
        <v>2508</v>
      </c>
      <c r="K12" s="1" t="str">
        <f>VLOOKUP(uslugi413[[#This Row],[ozn]],$A$2:$D$410,2,FALSE)</f>
        <v>bedzinski</v>
      </c>
      <c r="L12" s="1">
        <f>IF(VLOOKUP(uslugi413[[#This Row],[ozn]],$A$2:$D$410,4,FALSE)="z",1,0)</f>
        <v>1</v>
      </c>
      <c r="N12">
        <v>3318203338</v>
      </c>
      <c r="O12" s="1" t="s">
        <v>1430</v>
      </c>
      <c r="R12" s="11" t="s">
        <v>295</v>
      </c>
    </row>
    <row r="13" spans="1:19" x14ac:dyDescent="0.25">
      <c r="A13" s="2" t="s">
        <v>35</v>
      </c>
      <c r="B13" s="3" t="s">
        <v>36</v>
      </c>
      <c r="C13" s="3" t="s">
        <v>37</v>
      </c>
      <c r="D13" s="4" t="s">
        <v>7</v>
      </c>
      <c r="F13">
        <v>4653095092</v>
      </c>
      <c r="G13" s="1" t="s">
        <v>527</v>
      </c>
      <c r="H13" s="1" t="s">
        <v>1093</v>
      </c>
      <c r="I13" s="1" t="s">
        <v>1081</v>
      </c>
      <c r="J13">
        <v>2502</v>
      </c>
      <c r="K13" s="1" t="str">
        <f>VLOOKUP(uslugi413[[#This Row],[ozn]],$A$2:$D$410,2,FALSE)</f>
        <v>nyski</v>
      </c>
      <c r="L13" s="1">
        <f>IF(VLOOKUP(uslugi413[[#This Row],[ozn]],$A$2:$D$410,4,FALSE)="z",1,0)</f>
        <v>1</v>
      </c>
      <c r="N13">
        <v>1524870307</v>
      </c>
      <c r="O13" s="1" t="s">
        <v>1431</v>
      </c>
      <c r="R13" s="11" t="s">
        <v>318</v>
      </c>
    </row>
    <row r="14" spans="1:19" x14ac:dyDescent="0.25">
      <c r="A14" s="5" t="s">
        <v>38</v>
      </c>
      <c r="B14" s="6" t="s">
        <v>36</v>
      </c>
      <c r="C14" s="6" t="s">
        <v>39</v>
      </c>
      <c r="D14" s="7" t="s">
        <v>7</v>
      </c>
      <c r="F14">
        <v>5229945534</v>
      </c>
      <c r="G14" s="1" t="s">
        <v>14</v>
      </c>
      <c r="H14" s="1" t="s">
        <v>1094</v>
      </c>
      <c r="I14" s="1" t="s">
        <v>1087</v>
      </c>
      <c r="J14">
        <v>2674</v>
      </c>
      <c r="K14" s="1" t="str">
        <f>VLOOKUP(uslugi413[[#This Row],[ozn]],$A$2:$D$410,2,FALSE)</f>
        <v>bedzinski</v>
      </c>
      <c r="L14" s="1">
        <f>IF(VLOOKUP(uslugi413[[#This Row],[ozn]],$A$2:$D$410,4,FALSE)="z",1,0)</f>
        <v>1</v>
      </c>
      <c r="N14">
        <v>1581329071</v>
      </c>
      <c r="O14" s="1" t="s">
        <v>1432</v>
      </c>
      <c r="R14" s="11" t="s">
        <v>371</v>
      </c>
    </row>
    <row r="15" spans="1:19" x14ac:dyDescent="0.25">
      <c r="A15" s="2" t="s">
        <v>40</v>
      </c>
      <c r="B15" s="3" t="s">
        <v>39</v>
      </c>
      <c r="C15" s="3" t="s">
        <v>39</v>
      </c>
      <c r="D15" s="4" t="s">
        <v>22</v>
      </c>
      <c r="F15">
        <v>3743661247</v>
      </c>
      <c r="G15" s="1" t="s">
        <v>14</v>
      </c>
      <c r="H15" s="1" t="s">
        <v>1095</v>
      </c>
      <c r="I15" s="1" t="s">
        <v>1087</v>
      </c>
      <c r="J15">
        <v>2176</v>
      </c>
      <c r="K15" s="1" t="str">
        <f>VLOOKUP(uslugi413[[#This Row],[ozn]],$A$2:$D$410,2,FALSE)</f>
        <v>bedzinski</v>
      </c>
      <c r="L15" s="1">
        <f>IF(VLOOKUP(uslugi413[[#This Row],[ozn]],$A$2:$D$410,4,FALSE)="z",1,0)</f>
        <v>1</v>
      </c>
      <c r="N15">
        <v>3114182744</v>
      </c>
      <c r="O15" s="1" t="s">
        <v>1433</v>
      </c>
      <c r="R15" s="11" t="s">
        <v>429</v>
      </c>
    </row>
    <row r="16" spans="1:19" x14ac:dyDescent="0.25">
      <c r="A16" s="5" t="s">
        <v>41</v>
      </c>
      <c r="B16" s="6" t="s">
        <v>42</v>
      </c>
      <c r="C16" s="6" t="s">
        <v>43</v>
      </c>
      <c r="D16" s="7" t="s">
        <v>7</v>
      </c>
      <c r="F16">
        <v>4779174699</v>
      </c>
      <c r="G16" s="1" t="s">
        <v>1003</v>
      </c>
      <c r="H16" s="1" t="s">
        <v>1096</v>
      </c>
      <c r="I16" s="1" t="s">
        <v>1087</v>
      </c>
      <c r="J16">
        <v>1875</v>
      </c>
      <c r="K16" s="1" t="str">
        <f>VLOOKUP(uslugi413[[#This Row],[ozn]],$A$2:$D$410,2,FALSE)</f>
        <v>Wroclaw</v>
      </c>
      <c r="L16" s="1">
        <f>IF(VLOOKUP(uslugi413[[#This Row],[ozn]],$A$2:$D$410,4,FALSE)="z",1,0)</f>
        <v>0</v>
      </c>
      <c r="N16">
        <v>3743661247</v>
      </c>
      <c r="O16" s="1" t="s">
        <v>1434</v>
      </c>
      <c r="R16" s="11" t="s">
        <v>528</v>
      </c>
    </row>
    <row r="17" spans="1:18" x14ac:dyDescent="0.25">
      <c r="A17" s="2" t="s">
        <v>44</v>
      </c>
      <c r="B17" s="3" t="s">
        <v>45</v>
      </c>
      <c r="C17" s="3" t="s">
        <v>46</v>
      </c>
      <c r="D17" s="4" t="s">
        <v>7</v>
      </c>
      <c r="F17">
        <v>4715154852</v>
      </c>
      <c r="G17" s="1" t="s">
        <v>1003</v>
      </c>
      <c r="H17" s="1" t="s">
        <v>1097</v>
      </c>
      <c r="I17" s="1" t="s">
        <v>1081</v>
      </c>
      <c r="J17">
        <v>2520</v>
      </c>
      <c r="K17" s="1" t="str">
        <f>VLOOKUP(uslugi413[[#This Row],[ozn]],$A$2:$D$410,2,FALSE)</f>
        <v>Wroclaw</v>
      </c>
      <c r="L17" s="1">
        <f>IF(VLOOKUP(uslugi413[[#This Row],[ozn]],$A$2:$D$410,4,FALSE)="z",1,0)</f>
        <v>0</v>
      </c>
      <c r="N17">
        <v>5185759244</v>
      </c>
      <c r="O17" s="1" t="s">
        <v>1435</v>
      </c>
      <c r="R17" s="11" t="s">
        <v>534</v>
      </c>
    </row>
    <row r="18" spans="1:18" x14ac:dyDescent="0.25">
      <c r="A18" s="5" t="s">
        <v>47</v>
      </c>
      <c r="B18" s="6" t="s">
        <v>48</v>
      </c>
      <c r="C18" s="6" t="s">
        <v>49</v>
      </c>
      <c r="D18" s="7" t="s">
        <v>7</v>
      </c>
      <c r="F18">
        <v>6758177505</v>
      </c>
      <c r="G18" s="1" t="s">
        <v>869</v>
      </c>
      <c r="H18" s="1" t="s">
        <v>1098</v>
      </c>
      <c r="I18" s="1" t="s">
        <v>1081</v>
      </c>
      <c r="J18">
        <v>2984</v>
      </c>
      <c r="K18" s="1" t="str">
        <f>VLOOKUP(uslugi413[[#This Row],[ozn]],$A$2:$D$410,2,FALSE)</f>
        <v>tarnowski</v>
      </c>
      <c r="L18" s="1">
        <f>IF(VLOOKUP(uslugi413[[#This Row],[ozn]],$A$2:$D$410,4,FALSE)="z",1,0)</f>
        <v>1</v>
      </c>
      <c r="N18">
        <v>5229945534</v>
      </c>
      <c r="O18" s="1" t="s">
        <v>1436</v>
      </c>
      <c r="R18" s="11" t="s">
        <v>553</v>
      </c>
    </row>
    <row r="19" spans="1:18" x14ac:dyDescent="0.25">
      <c r="A19" s="2" t="s">
        <v>50</v>
      </c>
      <c r="B19" s="3" t="s">
        <v>51</v>
      </c>
      <c r="C19" s="3" t="s">
        <v>52</v>
      </c>
      <c r="D19" s="4" t="s">
        <v>7</v>
      </c>
      <c r="F19">
        <v>2581219876</v>
      </c>
      <c r="G19" s="1" t="s">
        <v>141</v>
      </c>
      <c r="H19" s="1" t="s">
        <v>1099</v>
      </c>
      <c r="I19" s="1" t="s">
        <v>1087</v>
      </c>
      <c r="J19">
        <v>2685</v>
      </c>
      <c r="K19" s="1" t="str">
        <f>VLOOKUP(uslugi413[[#This Row],[ozn]],$A$2:$D$410,2,FALSE)</f>
        <v>elblaski</v>
      </c>
      <c r="L19" s="1">
        <f>IF(VLOOKUP(uslugi413[[#This Row],[ozn]],$A$2:$D$410,4,FALSE)="z",1,0)</f>
        <v>1</v>
      </c>
      <c r="N19">
        <v>5266741491</v>
      </c>
      <c r="O19" s="1" t="s">
        <v>1437</v>
      </c>
      <c r="R19" s="11" t="s">
        <v>563</v>
      </c>
    </row>
    <row r="20" spans="1:18" x14ac:dyDescent="0.25">
      <c r="A20" s="5" t="s">
        <v>53</v>
      </c>
      <c r="B20" s="6" t="s">
        <v>54</v>
      </c>
      <c r="C20" s="6" t="s">
        <v>55</v>
      </c>
      <c r="D20" s="7" t="s">
        <v>7</v>
      </c>
      <c r="F20">
        <v>3568004264</v>
      </c>
      <c r="G20" s="1" t="s">
        <v>428</v>
      </c>
      <c r="H20" s="1" t="s">
        <v>1100</v>
      </c>
      <c r="I20" s="1" t="s">
        <v>1081</v>
      </c>
      <c r="J20">
        <v>2438</v>
      </c>
      <c r="K20" s="1" t="str">
        <f>VLOOKUP(uslugi413[[#This Row],[ozn]],$A$2:$D$410,2,FALSE)</f>
        <v>lubelski</v>
      </c>
      <c r="L20" s="1">
        <f>IF(VLOOKUP(uslugi413[[#This Row],[ozn]],$A$2:$D$410,4,FALSE)="z",1,0)</f>
        <v>1</v>
      </c>
      <c r="N20">
        <v>1246489959</v>
      </c>
      <c r="O20" s="1" t="s">
        <v>1438</v>
      </c>
      <c r="R20" s="11" t="s">
        <v>605</v>
      </c>
    </row>
    <row r="21" spans="1:18" x14ac:dyDescent="0.25">
      <c r="A21" s="2" t="s">
        <v>56</v>
      </c>
      <c r="B21" s="3" t="s">
        <v>57</v>
      </c>
      <c r="C21" s="3" t="s">
        <v>58</v>
      </c>
      <c r="D21" s="4" t="s">
        <v>7</v>
      </c>
      <c r="F21">
        <v>6727559092</v>
      </c>
      <c r="G21" s="1" t="s">
        <v>869</v>
      </c>
      <c r="H21" s="1" t="s">
        <v>1101</v>
      </c>
      <c r="I21" s="1" t="s">
        <v>1087</v>
      </c>
      <c r="J21">
        <v>2435</v>
      </c>
      <c r="K21" s="1" t="str">
        <f>VLOOKUP(uslugi413[[#This Row],[ozn]],$A$2:$D$410,2,FALSE)</f>
        <v>tarnowski</v>
      </c>
      <c r="L21" s="1">
        <f>IF(VLOOKUP(uslugi413[[#This Row],[ozn]],$A$2:$D$410,4,FALSE)="z",1,0)</f>
        <v>1</v>
      </c>
      <c r="N21">
        <v>5418968184</v>
      </c>
      <c r="O21" s="1" t="s">
        <v>1439</v>
      </c>
      <c r="R21" s="11" t="s">
        <v>738</v>
      </c>
    </row>
    <row r="22" spans="1:18" x14ac:dyDescent="0.25">
      <c r="A22" s="5" t="s">
        <v>59</v>
      </c>
      <c r="B22" s="6" t="s">
        <v>60</v>
      </c>
      <c r="C22" s="6" t="s">
        <v>61</v>
      </c>
      <c r="D22" s="7" t="s">
        <v>7</v>
      </c>
      <c r="F22">
        <v>5418968184</v>
      </c>
      <c r="G22" s="1" t="s">
        <v>14</v>
      </c>
      <c r="H22" s="1" t="s">
        <v>1102</v>
      </c>
      <c r="I22" s="1" t="s">
        <v>1081</v>
      </c>
      <c r="J22">
        <v>1806</v>
      </c>
      <c r="K22" s="1" t="str">
        <f>VLOOKUP(uslugi413[[#This Row],[ozn]],$A$2:$D$410,2,FALSE)</f>
        <v>bedzinski</v>
      </c>
      <c r="L22" s="1">
        <f>IF(VLOOKUP(uslugi413[[#This Row],[ozn]],$A$2:$D$410,4,FALSE)="z",1,0)</f>
        <v>1</v>
      </c>
      <c r="N22">
        <v>1165493421</v>
      </c>
      <c r="O22" s="1" t="s">
        <v>1440</v>
      </c>
      <c r="R22" s="11" t="s">
        <v>863</v>
      </c>
    </row>
    <row r="23" spans="1:18" x14ac:dyDescent="0.25">
      <c r="A23" s="2" t="s">
        <v>62</v>
      </c>
      <c r="B23" s="3" t="s">
        <v>63</v>
      </c>
      <c r="C23" s="3" t="s">
        <v>64</v>
      </c>
      <c r="D23" s="4" t="s">
        <v>7</v>
      </c>
      <c r="F23">
        <v>4956781088</v>
      </c>
      <c r="G23" s="1" t="s">
        <v>184</v>
      </c>
      <c r="H23" s="1" t="s">
        <v>1103</v>
      </c>
      <c r="I23" s="1" t="s">
        <v>1087</v>
      </c>
      <c r="J23">
        <v>2156</v>
      </c>
      <c r="K23" s="1" t="str">
        <f>VLOOKUP(uslugi413[[#This Row],[ozn]],$A$2:$D$410,2,FALSE)</f>
        <v>gorowski</v>
      </c>
      <c r="L23" s="1">
        <f>IF(VLOOKUP(uslugi413[[#This Row],[ozn]],$A$2:$D$410,4,FALSE)="z",1,0)</f>
        <v>1</v>
      </c>
      <c r="N23">
        <v>4580185570</v>
      </c>
      <c r="O23" s="1" t="s">
        <v>1441</v>
      </c>
      <c r="R23" s="11" t="s">
        <v>865</v>
      </c>
    </row>
    <row r="24" spans="1:18" x14ac:dyDescent="0.25">
      <c r="A24" s="5" t="s">
        <v>65</v>
      </c>
      <c r="B24" s="6" t="s">
        <v>63</v>
      </c>
      <c r="C24" s="6" t="s">
        <v>66</v>
      </c>
      <c r="D24" s="7" t="s">
        <v>7</v>
      </c>
      <c r="F24">
        <v>5341884086</v>
      </c>
      <c r="G24" s="1" t="s">
        <v>14</v>
      </c>
      <c r="H24" s="1" t="s">
        <v>1104</v>
      </c>
      <c r="I24" s="1" t="s">
        <v>1087</v>
      </c>
      <c r="J24">
        <v>1908</v>
      </c>
      <c r="K24" s="1" t="str">
        <f>VLOOKUP(uslugi413[[#This Row],[ozn]],$A$2:$D$410,2,FALSE)</f>
        <v>bedzinski</v>
      </c>
      <c r="L24" s="1">
        <f>IF(VLOOKUP(uslugi413[[#This Row],[ozn]],$A$2:$D$410,4,FALSE)="z",1,0)</f>
        <v>1</v>
      </c>
      <c r="N24">
        <v>2599394621</v>
      </c>
      <c r="O24" s="1" t="s">
        <v>1442</v>
      </c>
      <c r="R24" s="11" t="s">
        <v>870</v>
      </c>
    </row>
    <row r="25" spans="1:18" x14ac:dyDescent="0.25">
      <c r="A25" s="2" t="s">
        <v>67</v>
      </c>
      <c r="B25" s="3" t="s">
        <v>68</v>
      </c>
      <c r="C25" s="3" t="s">
        <v>69</v>
      </c>
      <c r="D25" s="4" t="s">
        <v>7</v>
      </c>
      <c r="F25">
        <v>1939065269</v>
      </c>
      <c r="G25" s="1" t="s">
        <v>636</v>
      </c>
      <c r="H25" s="1" t="s">
        <v>1105</v>
      </c>
      <c r="I25" s="1" t="s">
        <v>1087</v>
      </c>
      <c r="J25">
        <v>3156</v>
      </c>
      <c r="K25" s="1" t="str">
        <f>VLOOKUP(uslugi413[[#This Row],[ozn]],$A$2:$D$410,2,FALSE)</f>
        <v>Poznan</v>
      </c>
      <c r="L25" s="1">
        <f>IF(VLOOKUP(uslugi413[[#This Row],[ozn]],$A$2:$D$410,4,FALSE)="z",1,0)</f>
        <v>0</v>
      </c>
      <c r="N25">
        <v>4531538788</v>
      </c>
      <c r="O25" s="1" t="s">
        <v>1443</v>
      </c>
      <c r="R25" s="11" t="s">
        <v>893</v>
      </c>
    </row>
    <row r="26" spans="1:18" x14ac:dyDescent="0.25">
      <c r="A26" s="5" t="s">
        <v>70</v>
      </c>
      <c r="B26" s="6" t="s">
        <v>71</v>
      </c>
      <c r="C26" s="6" t="s">
        <v>72</v>
      </c>
      <c r="D26" s="7" t="s">
        <v>7</v>
      </c>
      <c r="F26">
        <v>4715154852</v>
      </c>
      <c r="G26" s="1" t="s">
        <v>1003</v>
      </c>
      <c r="H26" s="1" t="s">
        <v>1106</v>
      </c>
      <c r="I26" s="1" t="s">
        <v>1081</v>
      </c>
      <c r="J26">
        <v>2276</v>
      </c>
      <c r="K26" s="1" t="str">
        <f>VLOOKUP(uslugi413[[#This Row],[ozn]],$A$2:$D$410,2,FALSE)</f>
        <v>Wroclaw</v>
      </c>
      <c r="L26" s="1">
        <f>IF(VLOOKUP(uslugi413[[#This Row],[ozn]],$A$2:$D$410,4,FALSE)="z",1,0)</f>
        <v>0</v>
      </c>
      <c r="N26">
        <v>4458233905</v>
      </c>
      <c r="O26" s="1" t="s">
        <v>1444</v>
      </c>
      <c r="R26" s="11" t="s">
        <v>1031</v>
      </c>
    </row>
    <row r="27" spans="1:18" x14ac:dyDescent="0.25">
      <c r="A27" s="2" t="s">
        <v>73</v>
      </c>
      <c r="B27" s="3" t="s">
        <v>74</v>
      </c>
      <c r="C27" s="3" t="s">
        <v>75</v>
      </c>
      <c r="D27" s="4" t="s">
        <v>7</v>
      </c>
      <c r="F27">
        <v>5115061689</v>
      </c>
      <c r="G27" s="1" t="s">
        <v>704</v>
      </c>
      <c r="H27" s="1" t="s">
        <v>1107</v>
      </c>
      <c r="I27" s="1" t="s">
        <v>1087</v>
      </c>
      <c r="J27">
        <v>1627</v>
      </c>
      <c r="K27" s="1" t="str">
        <f>VLOOKUP(uslugi413[[#This Row],[ozn]],$A$2:$D$410,2,FALSE)</f>
        <v>Ruda Slaska</v>
      </c>
      <c r="L27" s="1">
        <f>IF(VLOOKUP(uslugi413[[#This Row],[ozn]],$A$2:$D$410,4,FALSE)="z",1,0)</f>
        <v>0</v>
      </c>
      <c r="N27">
        <v>4326751508</v>
      </c>
      <c r="O27" s="1" t="s">
        <v>1445</v>
      </c>
      <c r="R27" s="9" t="s">
        <v>1481</v>
      </c>
    </row>
    <row r="28" spans="1:18" x14ac:dyDescent="0.25">
      <c r="A28" s="5" t="s">
        <v>76</v>
      </c>
      <c r="B28" s="6" t="s">
        <v>77</v>
      </c>
      <c r="C28" s="6" t="s">
        <v>78</v>
      </c>
      <c r="D28" s="7" t="s">
        <v>7</v>
      </c>
      <c r="F28">
        <v>4326751508</v>
      </c>
      <c r="G28" s="1" t="s">
        <v>40</v>
      </c>
      <c r="H28" s="1" t="s">
        <v>1108</v>
      </c>
      <c r="I28" s="1" t="s">
        <v>1087</v>
      </c>
      <c r="J28">
        <v>2060</v>
      </c>
      <c r="K28" s="1" t="str">
        <f>VLOOKUP(uslugi413[[#This Row],[ozn]],$A$2:$D$410,2,FALSE)</f>
        <v>Bielsko-Biala</v>
      </c>
      <c r="L28" s="1">
        <f>IF(VLOOKUP(uslugi413[[#This Row],[ozn]],$A$2:$D$410,4,FALSE)="z",1,0)</f>
        <v>0</v>
      </c>
      <c r="N28">
        <v>4761158900</v>
      </c>
      <c r="O28" s="1" t="s">
        <v>1446</v>
      </c>
    </row>
    <row r="29" spans="1:18" x14ac:dyDescent="0.25">
      <c r="A29" s="2" t="s">
        <v>79</v>
      </c>
      <c r="B29" s="3" t="s">
        <v>78</v>
      </c>
      <c r="C29" s="3" t="s">
        <v>78</v>
      </c>
      <c r="D29" s="4" t="s">
        <v>22</v>
      </c>
      <c r="F29">
        <v>1581329071</v>
      </c>
      <c r="G29" s="1" t="s">
        <v>14</v>
      </c>
      <c r="H29" s="1" t="s">
        <v>1109</v>
      </c>
      <c r="I29" s="1" t="s">
        <v>1087</v>
      </c>
      <c r="J29">
        <v>2236</v>
      </c>
      <c r="K29" s="1" t="str">
        <f>VLOOKUP(uslugi413[[#This Row],[ozn]],$A$2:$D$410,2,FALSE)</f>
        <v>bedzinski</v>
      </c>
      <c r="L29" s="1">
        <f>IF(VLOOKUP(uslugi413[[#This Row],[ozn]],$A$2:$D$410,4,FALSE)="z",1,0)</f>
        <v>1</v>
      </c>
      <c r="N29">
        <v>4653095092</v>
      </c>
      <c r="O29" s="1" t="s">
        <v>1447</v>
      </c>
    </row>
    <row r="30" spans="1:18" x14ac:dyDescent="0.25">
      <c r="A30" s="5" t="s">
        <v>80</v>
      </c>
      <c r="B30" s="6" t="s">
        <v>81</v>
      </c>
      <c r="C30" s="6" t="s">
        <v>81</v>
      </c>
      <c r="D30" s="7" t="s">
        <v>22</v>
      </c>
      <c r="F30">
        <v>4326751508</v>
      </c>
      <c r="G30" s="1" t="s">
        <v>40</v>
      </c>
      <c r="H30" s="1" t="s">
        <v>1110</v>
      </c>
      <c r="I30" s="1" t="s">
        <v>1081</v>
      </c>
      <c r="J30">
        <v>2000</v>
      </c>
      <c r="K30" s="1" t="str">
        <f>VLOOKUP(uslugi413[[#This Row],[ozn]],$A$2:$D$410,2,FALSE)</f>
        <v>Bielsko-Biala</v>
      </c>
      <c r="L30" s="1">
        <f>IF(VLOOKUP(uslugi413[[#This Row],[ozn]],$A$2:$D$410,4,FALSE)="z",1,0)</f>
        <v>0</v>
      </c>
      <c r="N30">
        <v>3678947206</v>
      </c>
      <c r="O30" s="1" t="s">
        <v>1448</v>
      </c>
    </row>
    <row r="31" spans="1:18" x14ac:dyDescent="0.25">
      <c r="A31" s="2" t="s">
        <v>82</v>
      </c>
      <c r="B31" s="3" t="s">
        <v>83</v>
      </c>
      <c r="C31" s="3" t="s">
        <v>84</v>
      </c>
      <c r="D31" s="4" t="s">
        <v>7</v>
      </c>
      <c r="F31">
        <v>3470453173</v>
      </c>
      <c r="G31" s="1" t="s">
        <v>85</v>
      </c>
      <c r="H31" s="1" t="s">
        <v>1111</v>
      </c>
      <c r="I31" s="1" t="s">
        <v>1081</v>
      </c>
      <c r="J31">
        <v>2040</v>
      </c>
      <c r="K31" s="1" t="str">
        <f>VLOOKUP(uslugi413[[#This Row],[ozn]],$A$2:$D$410,2,FALSE)</f>
        <v>Chelm</v>
      </c>
      <c r="L31" s="1">
        <f>IF(VLOOKUP(uslugi413[[#This Row],[ozn]],$A$2:$D$410,4,FALSE)="z",1,0)</f>
        <v>0</v>
      </c>
      <c r="N31">
        <v>2245871126</v>
      </c>
      <c r="O31" s="1" t="s">
        <v>1449</v>
      </c>
    </row>
    <row r="32" spans="1:18" x14ac:dyDescent="0.25">
      <c r="A32" s="5" t="s">
        <v>85</v>
      </c>
      <c r="B32" s="6" t="s">
        <v>86</v>
      </c>
      <c r="C32" s="6" t="s">
        <v>86</v>
      </c>
      <c r="D32" s="7" t="s">
        <v>22</v>
      </c>
      <c r="F32">
        <v>1433397952</v>
      </c>
      <c r="G32" s="1" t="s">
        <v>314</v>
      </c>
      <c r="H32" s="1" t="s">
        <v>1112</v>
      </c>
      <c r="I32" s="1" t="s">
        <v>1087</v>
      </c>
      <c r="J32">
        <v>2734</v>
      </c>
      <c r="K32" s="1" t="str">
        <f>VLOOKUP(uslugi413[[#This Row],[ozn]],$A$2:$D$410,2,FALSE)</f>
        <v>Konin</v>
      </c>
      <c r="L32" s="1">
        <f>IF(VLOOKUP(uslugi413[[#This Row],[ozn]],$A$2:$D$410,4,FALSE)="z",1,0)</f>
        <v>0</v>
      </c>
      <c r="N32">
        <v>5459753232</v>
      </c>
      <c r="O32" s="1" t="s">
        <v>1450</v>
      </c>
    </row>
    <row r="33" spans="1:15" x14ac:dyDescent="0.25">
      <c r="A33" s="2" t="s">
        <v>87</v>
      </c>
      <c r="B33" s="3" t="s">
        <v>88</v>
      </c>
      <c r="C33" s="3" t="s">
        <v>89</v>
      </c>
      <c r="D33" s="4" t="s">
        <v>7</v>
      </c>
      <c r="F33">
        <v>3783578981</v>
      </c>
      <c r="G33" s="1" t="s">
        <v>405</v>
      </c>
      <c r="H33" s="1" t="s">
        <v>1113</v>
      </c>
      <c r="I33" s="1" t="s">
        <v>1081</v>
      </c>
      <c r="J33">
        <v>1935</v>
      </c>
      <c r="K33" s="1" t="str">
        <f>VLOOKUP(uslugi413[[#This Row],[ozn]],$A$2:$D$410,2,FALSE)</f>
        <v>Lodz</v>
      </c>
      <c r="L33" s="1">
        <f>IF(VLOOKUP(uslugi413[[#This Row],[ozn]],$A$2:$D$410,4,FALSE)="z",1,0)</f>
        <v>0</v>
      </c>
      <c r="N33">
        <v>5514533376</v>
      </c>
      <c r="O33" s="1" t="s">
        <v>1451</v>
      </c>
    </row>
    <row r="34" spans="1:15" x14ac:dyDescent="0.25">
      <c r="A34" s="5" t="s">
        <v>90</v>
      </c>
      <c r="B34" s="6" t="s">
        <v>91</v>
      </c>
      <c r="C34" s="6" t="s">
        <v>86</v>
      </c>
      <c r="D34" s="7" t="s">
        <v>7</v>
      </c>
      <c r="F34">
        <v>2581219876</v>
      </c>
      <c r="G34" s="1" t="s">
        <v>141</v>
      </c>
      <c r="H34" s="1" t="s">
        <v>1114</v>
      </c>
      <c r="I34" s="1" t="s">
        <v>1087</v>
      </c>
      <c r="J34">
        <v>2818</v>
      </c>
      <c r="K34" s="1" t="str">
        <f>VLOOKUP(uslugi413[[#This Row],[ozn]],$A$2:$D$410,2,FALSE)</f>
        <v>elblaski</v>
      </c>
      <c r="L34" s="1">
        <f>IF(VLOOKUP(uslugi413[[#This Row],[ozn]],$A$2:$D$410,4,FALSE)="z",1,0)</f>
        <v>1</v>
      </c>
      <c r="N34">
        <v>1820566794</v>
      </c>
      <c r="O34" s="1" t="s">
        <v>1452</v>
      </c>
    </row>
    <row r="35" spans="1:15" x14ac:dyDescent="0.25">
      <c r="A35" s="2" t="s">
        <v>92</v>
      </c>
      <c r="B35" s="3" t="s">
        <v>93</v>
      </c>
      <c r="C35" s="3" t="s">
        <v>94</v>
      </c>
      <c r="D35" s="4" t="s">
        <v>7</v>
      </c>
      <c r="F35">
        <v>4796841112</v>
      </c>
      <c r="G35" s="1" t="s">
        <v>533</v>
      </c>
      <c r="H35" s="1" t="s">
        <v>1115</v>
      </c>
      <c r="I35" s="1" t="s">
        <v>1081</v>
      </c>
      <c r="J35">
        <v>2668</v>
      </c>
      <c r="K35" s="1" t="str">
        <f>VLOOKUP(uslugi413[[#This Row],[ozn]],$A$2:$D$410,2,FALSE)</f>
        <v>olawski</v>
      </c>
      <c r="L35" s="1">
        <f>IF(VLOOKUP(uslugi413[[#This Row],[ozn]],$A$2:$D$410,4,FALSE)="z",1,0)</f>
        <v>1</v>
      </c>
      <c r="N35">
        <v>3783578981</v>
      </c>
      <c r="O35" s="1" t="s">
        <v>1453</v>
      </c>
    </row>
    <row r="36" spans="1:15" x14ac:dyDescent="0.25">
      <c r="A36" s="5" t="s">
        <v>95</v>
      </c>
      <c r="B36" s="6" t="s">
        <v>96</v>
      </c>
      <c r="C36" s="6" t="s">
        <v>97</v>
      </c>
      <c r="D36" s="7" t="s">
        <v>7</v>
      </c>
      <c r="F36">
        <v>4715154852</v>
      </c>
      <c r="G36" s="1" t="s">
        <v>1003</v>
      </c>
      <c r="H36" s="1" t="s">
        <v>1116</v>
      </c>
      <c r="I36" s="1" t="s">
        <v>1087</v>
      </c>
      <c r="J36">
        <v>2700</v>
      </c>
      <c r="K36" s="1" t="str">
        <f>VLOOKUP(uslugi413[[#This Row],[ozn]],$A$2:$D$410,2,FALSE)</f>
        <v>Wroclaw</v>
      </c>
      <c r="L36" s="1">
        <f>IF(VLOOKUP(uslugi413[[#This Row],[ozn]],$A$2:$D$410,4,FALSE)="z",1,0)</f>
        <v>0</v>
      </c>
      <c r="N36">
        <v>1127056356</v>
      </c>
      <c r="O36" s="1" t="s">
        <v>1454</v>
      </c>
    </row>
    <row r="37" spans="1:15" x14ac:dyDescent="0.25">
      <c r="A37" s="2" t="s">
        <v>98</v>
      </c>
      <c r="B37" s="3" t="s">
        <v>99</v>
      </c>
      <c r="C37" s="3" t="s">
        <v>99</v>
      </c>
      <c r="D37" s="4" t="s">
        <v>22</v>
      </c>
      <c r="F37">
        <v>4241680809</v>
      </c>
      <c r="G37" s="1" t="s">
        <v>14</v>
      </c>
      <c r="H37" s="1" t="s">
        <v>1117</v>
      </c>
      <c r="I37" s="1" t="s">
        <v>1087</v>
      </c>
      <c r="J37">
        <v>2496</v>
      </c>
      <c r="K37" s="1" t="str">
        <f>VLOOKUP(uslugi413[[#This Row],[ozn]],$A$2:$D$410,2,FALSE)</f>
        <v>bedzinski</v>
      </c>
      <c r="L37" s="1">
        <f>IF(VLOOKUP(uslugi413[[#This Row],[ozn]],$A$2:$D$410,4,FALSE)="z",1,0)</f>
        <v>1</v>
      </c>
      <c r="N37">
        <v>1278408463</v>
      </c>
      <c r="O37" s="1" t="s">
        <v>1455</v>
      </c>
    </row>
    <row r="38" spans="1:15" x14ac:dyDescent="0.25">
      <c r="A38" s="5" t="s">
        <v>100</v>
      </c>
      <c r="B38" s="6" t="s">
        <v>101</v>
      </c>
      <c r="C38" s="6" t="s">
        <v>102</v>
      </c>
      <c r="D38" s="7" t="s">
        <v>7</v>
      </c>
      <c r="F38">
        <v>1617995032</v>
      </c>
      <c r="G38" s="1" t="s">
        <v>892</v>
      </c>
      <c r="H38" s="1" t="s">
        <v>1118</v>
      </c>
      <c r="I38" s="1" t="s">
        <v>1087</v>
      </c>
      <c r="J38">
        <v>2148</v>
      </c>
      <c r="K38" s="1" t="str">
        <f>VLOOKUP(uslugi413[[#This Row],[ozn]],$A$2:$D$410,2,FALSE)</f>
        <v>turecki</v>
      </c>
      <c r="L38" s="1">
        <f>IF(VLOOKUP(uslugi413[[#This Row],[ozn]],$A$2:$D$410,4,FALSE)="z",1,0)</f>
        <v>1</v>
      </c>
      <c r="N38">
        <v>3866883575</v>
      </c>
      <c r="O38" s="1" t="s">
        <v>1456</v>
      </c>
    </row>
    <row r="39" spans="1:15" x14ac:dyDescent="0.25">
      <c r="A39" s="2" t="s">
        <v>103</v>
      </c>
      <c r="B39" s="3" t="s">
        <v>104</v>
      </c>
      <c r="C39" s="3" t="s">
        <v>105</v>
      </c>
      <c r="D39" s="4" t="s">
        <v>7</v>
      </c>
      <c r="F39">
        <v>1433397952</v>
      </c>
      <c r="G39" s="1" t="s">
        <v>314</v>
      </c>
      <c r="H39" s="1" t="s">
        <v>1119</v>
      </c>
      <c r="I39" s="1" t="s">
        <v>1081</v>
      </c>
      <c r="J39">
        <v>2160</v>
      </c>
      <c r="K39" s="1" t="str">
        <f>VLOOKUP(uslugi413[[#This Row],[ozn]],$A$2:$D$410,2,FALSE)</f>
        <v>Konin</v>
      </c>
      <c r="L39" s="1">
        <f>IF(VLOOKUP(uslugi413[[#This Row],[ozn]],$A$2:$D$410,4,FALSE)="z",1,0)</f>
        <v>0</v>
      </c>
      <c r="N39">
        <v>2138598159</v>
      </c>
      <c r="O39" s="1" t="s">
        <v>1457</v>
      </c>
    </row>
    <row r="40" spans="1:15" x14ac:dyDescent="0.25">
      <c r="A40" s="5" t="s">
        <v>106</v>
      </c>
      <c r="B40" s="6" t="s">
        <v>107</v>
      </c>
      <c r="C40" s="6" t="s">
        <v>108</v>
      </c>
      <c r="D40" s="7" t="s">
        <v>7</v>
      </c>
      <c r="F40">
        <v>4326751508</v>
      </c>
      <c r="G40" s="1" t="s">
        <v>405</v>
      </c>
      <c r="H40" s="1" t="s">
        <v>1120</v>
      </c>
      <c r="I40" s="1" t="s">
        <v>1087</v>
      </c>
      <c r="J40">
        <v>2056</v>
      </c>
      <c r="K40" s="1" t="str">
        <f>VLOOKUP(uslugi413[[#This Row],[ozn]],$A$2:$D$410,2,FALSE)</f>
        <v>Lodz</v>
      </c>
      <c r="L40" s="1">
        <f>IF(VLOOKUP(uslugi413[[#This Row],[ozn]],$A$2:$D$410,4,FALSE)="z",1,0)</f>
        <v>0</v>
      </c>
      <c r="N40">
        <v>2119268767</v>
      </c>
      <c r="O40" s="1" t="s">
        <v>1458</v>
      </c>
    </row>
    <row r="41" spans="1:15" x14ac:dyDescent="0.25">
      <c r="A41" s="2" t="s">
        <v>109</v>
      </c>
      <c r="B41" s="3" t="s">
        <v>110</v>
      </c>
      <c r="C41" s="3" t="s">
        <v>111</v>
      </c>
      <c r="D41" s="4" t="s">
        <v>7</v>
      </c>
      <c r="F41">
        <v>1246489959</v>
      </c>
      <c r="G41" s="1" t="s">
        <v>14</v>
      </c>
      <c r="H41" s="1" t="s">
        <v>1121</v>
      </c>
      <c r="I41" s="1" t="s">
        <v>1087</v>
      </c>
      <c r="J41">
        <v>1812</v>
      </c>
      <c r="K41" s="1" t="str">
        <f>VLOOKUP(uslugi413[[#This Row],[ozn]],$A$2:$D$410,2,FALSE)</f>
        <v>bedzinski</v>
      </c>
      <c r="L41" s="1">
        <f>IF(VLOOKUP(uslugi413[[#This Row],[ozn]],$A$2:$D$410,4,FALSE)="z",1,0)</f>
        <v>1</v>
      </c>
      <c r="N41">
        <v>1433397952</v>
      </c>
      <c r="O41" s="1" t="s">
        <v>1459</v>
      </c>
    </row>
    <row r="42" spans="1:15" x14ac:dyDescent="0.25">
      <c r="A42" s="5" t="s">
        <v>112</v>
      </c>
      <c r="B42" s="6" t="s">
        <v>113</v>
      </c>
      <c r="C42" s="6" t="s">
        <v>114</v>
      </c>
      <c r="D42" s="7" t="s">
        <v>7</v>
      </c>
      <c r="F42">
        <v>4241680809</v>
      </c>
      <c r="G42" s="1" t="s">
        <v>14</v>
      </c>
      <c r="H42" s="1" t="s">
        <v>1122</v>
      </c>
      <c r="I42" s="1" t="s">
        <v>1087</v>
      </c>
      <c r="J42">
        <v>2664</v>
      </c>
      <c r="K42" s="1" t="str">
        <f>VLOOKUP(uslugi413[[#This Row],[ozn]],$A$2:$D$410,2,FALSE)</f>
        <v>bedzinski</v>
      </c>
      <c r="L42" s="1">
        <f>IF(VLOOKUP(uslugi413[[#This Row],[ozn]],$A$2:$D$410,4,FALSE)="z",1,0)</f>
        <v>1</v>
      </c>
      <c r="N42">
        <v>3568004264</v>
      </c>
      <c r="O42" s="1" t="s">
        <v>1460</v>
      </c>
    </row>
    <row r="43" spans="1:15" x14ac:dyDescent="0.25">
      <c r="A43" s="2" t="s">
        <v>115</v>
      </c>
      <c r="B43" s="3" t="s">
        <v>116</v>
      </c>
      <c r="C43" s="3" t="s">
        <v>116</v>
      </c>
      <c r="D43" s="4" t="s">
        <v>22</v>
      </c>
      <c r="F43">
        <v>3470453173</v>
      </c>
      <c r="G43" s="1" t="s">
        <v>85</v>
      </c>
      <c r="H43" s="1" t="s">
        <v>1123</v>
      </c>
      <c r="I43" s="1" t="s">
        <v>1087</v>
      </c>
      <c r="J43">
        <v>2872</v>
      </c>
      <c r="K43" s="1" t="str">
        <f>VLOOKUP(uslugi413[[#This Row],[ozn]],$A$2:$D$410,2,FALSE)</f>
        <v>Chelm</v>
      </c>
      <c r="L43" s="1">
        <f>IF(VLOOKUP(uslugi413[[#This Row],[ozn]],$A$2:$D$410,4,FALSE)="z",1,0)</f>
        <v>0</v>
      </c>
      <c r="N43">
        <v>4779174699</v>
      </c>
      <c r="O43" s="1" t="s">
        <v>1461</v>
      </c>
    </row>
    <row r="44" spans="1:15" x14ac:dyDescent="0.25">
      <c r="A44" s="5" t="s">
        <v>117</v>
      </c>
      <c r="B44" s="6" t="s">
        <v>118</v>
      </c>
      <c r="C44" s="6" t="s">
        <v>116</v>
      </c>
      <c r="D44" s="7" t="s">
        <v>7</v>
      </c>
      <c r="F44">
        <v>3568004264</v>
      </c>
      <c r="G44" s="1" t="s">
        <v>428</v>
      </c>
      <c r="H44" s="1" t="s">
        <v>1124</v>
      </c>
      <c r="I44" s="1" t="s">
        <v>1087</v>
      </c>
      <c r="J44">
        <v>1928</v>
      </c>
      <c r="K44" s="1" t="str">
        <f>VLOOKUP(uslugi413[[#This Row],[ozn]],$A$2:$D$410,2,FALSE)</f>
        <v>lubelski</v>
      </c>
      <c r="L44" s="1">
        <f>IF(VLOOKUP(uslugi413[[#This Row],[ozn]],$A$2:$D$410,4,FALSE)="z",1,0)</f>
        <v>1</v>
      </c>
      <c r="N44">
        <v>3357631311</v>
      </c>
      <c r="O44" s="1" t="s">
        <v>1462</v>
      </c>
    </row>
    <row r="45" spans="1:15" x14ac:dyDescent="0.25">
      <c r="A45" s="2" t="s">
        <v>119</v>
      </c>
      <c r="B45" s="3" t="s">
        <v>120</v>
      </c>
      <c r="C45" s="3" t="s">
        <v>121</v>
      </c>
      <c r="D45" s="4" t="s">
        <v>7</v>
      </c>
      <c r="F45">
        <v>1617995032</v>
      </c>
      <c r="G45" s="1" t="s">
        <v>892</v>
      </c>
      <c r="H45" s="1" t="s">
        <v>1125</v>
      </c>
      <c r="I45" s="1" t="s">
        <v>1087</v>
      </c>
      <c r="J45">
        <v>2194</v>
      </c>
      <c r="K45" s="1" t="str">
        <f>VLOOKUP(uslugi413[[#This Row],[ozn]],$A$2:$D$410,2,FALSE)</f>
        <v>turecki</v>
      </c>
      <c r="L45" s="1">
        <f>IF(VLOOKUP(uslugi413[[#This Row],[ozn]],$A$2:$D$410,4,FALSE)="z",1,0)</f>
        <v>1</v>
      </c>
      <c r="N45">
        <v>2281651150</v>
      </c>
      <c r="O45" s="1" t="s">
        <v>1463</v>
      </c>
    </row>
    <row r="46" spans="1:15" x14ac:dyDescent="0.25">
      <c r="A46" s="5" t="s">
        <v>122</v>
      </c>
      <c r="B46" s="6" t="s">
        <v>123</v>
      </c>
      <c r="C46" s="6" t="s">
        <v>123</v>
      </c>
      <c r="D46" s="7" t="s">
        <v>22</v>
      </c>
      <c r="F46">
        <v>2119268767</v>
      </c>
      <c r="G46" s="1" t="s">
        <v>141</v>
      </c>
      <c r="H46" s="1" t="s">
        <v>1126</v>
      </c>
      <c r="I46" s="1" t="s">
        <v>1087</v>
      </c>
      <c r="J46">
        <v>2114</v>
      </c>
      <c r="K46" s="1" t="str">
        <f>VLOOKUP(uslugi413[[#This Row],[ozn]],$A$2:$D$410,2,FALSE)</f>
        <v>elblaski</v>
      </c>
      <c r="L46" s="1">
        <f>IF(VLOOKUP(uslugi413[[#This Row],[ozn]],$A$2:$D$410,4,FALSE)="z",1,0)</f>
        <v>1</v>
      </c>
      <c r="N46">
        <v>1939065269</v>
      </c>
      <c r="O46" s="1" t="s">
        <v>1464</v>
      </c>
    </row>
    <row r="47" spans="1:15" x14ac:dyDescent="0.25">
      <c r="A47" s="2" t="s">
        <v>124</v>
      </c>
      <c r="B47" s="3" t="s">
        <v>125</v>
      </c>
      <c r="C47" s="3" t="s">
        <v>126</v>
      </c>
      <c r="D47" s="4" t="s">
        <v>7</v>
      </c>
      <c r="F47">
        <v>5341884086</v>
      </c>
      <c r="G47" s="1" t="s">
        <v>270</v>
      </c>
      <c r="H47" s="1" t="s">
        <v>1127</v>
      </c>
      <c r="I47" s="1" t="s">
        <v>1087</v>
      </c>
      <c r="J47">
        <v>2364</v>
      </c>
      <c r="K47" s="1" t="str">
        <f>VLOOKUP(uslugi413[[#This Row],[ozn]],$A$2:$D$410,2,FALSE)</f>
        <v>Katowice</v>
      </c>
      <c r="L47" s="1">
        <f>IF(VLOOKUP(uslugi413[[#This Row],[ozn]],$A$2:$D$410,4,FALSE)="z",1,0)</f>
        <v>0</v>
      </c>
      <c r="N47">
        <v>5115061689</v>
      </c>
      <c r="O47" s="1" t="s">
        <v>1465</v>
      </c>
    </row>
    <row r="48" spans="1:15" x14ac:dyDescent="0.25">
      <c r="A48" s="5" t="s">
        <v>127</v>
      </c>
      <c r="B48" s="6" t="s">
        <v>128</v>
      </c>
      <c r="C48" s="6" t="s">
        <v>129</v>
      </c>
      <c r="D48" s="7" t="s">
        <v>7</v>
      </c>
      <c r="F48">
        <v>4779174699</v>
      </c>
      <c r="G48" s="1" t="s">
        <v>1003</v>
      </c>
      <c r="H48" s="1" t="s">
        <v>1128</v>
      </c>
      <c r="I48" s="1" t="s">
        <v>1087</v>
      </c>
      <c r="J48">
        <v>2462</v>
      </c>
      <c r="K48" s="1" t="str">
        <f>VLOOKUP(uslugi413[[#This Row],[ozn]],$A$2:$D$410,2,FALSE)</f>
        <v>Wroclaw</v>
      </c>
      <c r="L48" s="1">
        <f>IF(VLOOKUP(uslugi413[[#This Row],[ozn]],$A$2:$D$410,4,FALSE)="z",1,0)</f>
        <v>0</v>
      </c>
      <c r="N48">
        <v>4796841112</v>
      </c>
      <c r="O48" s="1" t="s">
        <v>1466</v>
      </c>
    </row>
    <row r="49" spans="1:15" x14ac:dyDescent="0.25">
      <c r="A49" s="2" t="s">
        <v>130</v>
      </c>
      <c r="B49" s="3" t="s">
        <v>131</v>
      </c>
      <c r="C49" s="3" t="s">
        <v>132</v>
      </c>
      <c r="D49" s="4" t="s">
        <v>7</v>
      </c>
      <c r="F49">
        <v>1939065269</v>
      </c>
      <c r="G49" s="1" t="s">
        <v>636</v>
      </c>
      <c r="H49" s="1" t="s">
        <v>1129</v>
      </c>
      <c r="I49" s="1" t="s">
        <v>1087</v>
      </c>
      <c r="J49">
        <v>2696</v>
      </c>
      <c r="K49" s="1" t="str">
        <f>VLOOKUP(uslugi413[[#This Row],[ozn]],$A$2:$D$410,2,FALSE)</f>
        <v>Poznan</v>
      </c>
      <c r="L49" s="1">
        <f>IF(VLOOKUP(uslugi413[[#This Row],[ozn]],$A$2:$D$410,4,FALSE)="z",1,0)</f>
        <v>0</v>
      </c>
      <c r="N49">
        <v>1617995032</v>
      </c>
      <c r="O49" s="1" t="s">
        <v>1467</v>
      </c>
    </row>
    <row r="50" spans="1:15" x14ac:dyDescent="0.25">
      <c r="A50" s="5" t="s">
        <v>133</v>
      </c>
      <c r="B50" s="6" t="s">
        <v>134</v>
      </c>
      <c r="C50" s="6" t="s">
        <v>135</v>
      </c>
      <c r="D50" s="7" t="s">
        <v>7</v>
      </c>
      <c r="F50">
        <v>1939065269</v>
      </c>
      <c r="G50" s="1" t="s">
        <v>636</v>
      </c>
      <c r="H50" s="1" t="s">
        <v>1130</v>
      </c>
      <c r="I50" s="1" t="s">
        <v>1081</v>
      </c>
      <c r="J50">
        <v>2073</v>
      </c>
      <c r="K50" s="1" t="str">
        <f>VLOOKUP(uslugi413[[#This Row],[ozn]],$A$2:$D$410,2,FALSE)</f>
        <v>Poznan</v>
      </c>
      <c r="L50" s="1">
        <f>IF(VLOOKUP(uslugi413[[#This Row],[ozn]],$A$2:$D$410,4,FALSE)="z",1,0)</f>
        <v>0</v>
      </c>
      <c r="N50">
        <v>2214740049</v>
      </c>
      <c r="O50" s="1" t="s">
        <v>1468</v>
      </c>
    </row>
    <row r="51" spans="1:15" x14ac:dyDescent="0.25">
      <c r="A51" s="2" t="s">
        <v>136</v>
      </c>
      <c r="B51" s="3" t="s">
        <v>137</v>
      </c>
      <c r="C51" s="3" t="s">
        <v>138</v>
      </c>
      <c r="D51" s="4" t="s">
        <v>7</v>
      </c>
      <c r="F51">
        <v>5459753232</v>
      </c>
      <c r="G51" s="1" t="s">
        <v>737</v>
      </c>
      <c r="H51" s="1" t="s">
        <v>1131</v>
      </c>
      <c r="I51" s="1" t="s">
        <v>1087</v>
      </c>
      <c r="J51">
        <v>1629</v>
      </c>
      <c r="K51" s="1" t="str">
        <f>VLOOKUP(uslugi413[[#This Row],[ozn]],$A$2:$D$410,2,FALSE)</f>
        <v>siemiatycki</v>
      </c>
      <c r="L51" s="1">
        <f>IF(VLOOKUP(uslugi413[[#This Row],[ozn]],$A$2:$D$410,4,FALSE)="z",1,0)</f>
        <v>1</v>
      </c>
      <c r="N51">
        <v>1620242236</v>
      </c>
      <c r="O51" s="1" t="s">
        <v>1469</v>
      </c>
    </row>
    <row r="52" spans="1:15" x14ac:dyDescent="0.25">
      <c r="A52" s="5" t="s">
        <v>139</v>
      </c>
      <c r="B52" s="6" t="s">
        <v>140</v>
      </c>
      <c r="C52" s="6" t="s">
        <v>140</v>
      </c>
      <c r="D52" s="7" t="s">
        <v>22</v>
      </c>
      <c r="F52">
        <v>4761158900</v>
      </c>
      <c r="G52" s="1" t="s">
        <v>294</v>
      </c>
      <c r="H52" s="1" t="s">
        <v>1132</v>
      </c>
      <c r="I52" s="1" t="s">
        <v>1087</v>
      </c>
      <c r="J52">
        <v>2139</v>
      </c>
      <c r="K52" s="1" t="str">
        <f>VLOOKUP(uslugi413[[#This Row],[ozn]],$A$2:$D$410,2,FALSE)</f>
        <v>kluczborski</v>
      </c>
      <c r="L52" s="1">
        <f>IF(VLOOKUP(uslugi413[[#This Row],[ozn]],$A$2:$D$410,4,FALSE)="z",1,0)</f>
        <v>1</v>
      </c>
      <c r="N52">
        <v>3579231044</v>
      </c>
      <c r="O52" s="1" t="s">
        <v>1470</v>
      </c>
    </row>
    <row r="53" spans="1:15" x14ac:dyDescent="0.25">
      <c r="A53" s="2" t="s">
        <v>141</v>
      </c>
      <c r="B53" s="3" t="s">
        <v>142</v>
      </c>
      <c r="C53" s="3" t="s">
        <v>140</v>
      </c>
      <c r="D53" s="4" t="s">
        <v>7</v>
      </c>
      <c r="F53">
        <v>1127056356</v>
      </c>
      <c r="G53" s="1" t="s">
        <v>317</v>
      </c>
      <c r="H53" s="1" t="s">
        <v>1133</v>
      </c>
      <c r="I53" s="1" t="s">
        <v>1087</v>
      </c>
      <c r="J53">
        <v>2944</v>
      </c>
      <c r="K53" s="1" t="str">
        <f>VLOOKUP(uslugi413[[#This Row],[ozn]],$A$2:$D$410,2,FALSE)</f>
        <v>koscianski</v>
      </c>
      <c r="L53" s="1">
        <f>IF(VLOOKUP(uslugi413[[#This Row],[ozn]],$A$2:$D$410,4,FALSE)="z",1,0)</f>
        <v>1</v>
      </c>
      <c r="N53">
        <v>6727559092</v>
      </c>
      <c r="O53" s="1" t="s">
        <v>1471</v>
      </c>
    </row>
    <row r="54" spans="1:15" x14ac:dyDescent="0.25">
      <c r="A54" s="5" t="s">
        <v>143</v>
      </c>
      <c r="B54" s="6" t="s">
        <v>144</v>
      </c>
      <c r="C54" s="6" t="s">
        <v>145</v>
      </c>
      <c r="D54" s="7" t="s">
        <v>7</v>
      </c>
      <c r="F54">
        <v>1361555378</v>
      </c>
      <c r="G54" s="1" t="s">
        <v>270</v>
      </c>
      <c r="H54" s="1" t="s">
        <v>1134</v>
      </c>
      <c r="I54" s="1" t="s">
        <v>1081</v>
      </c>
      <c r="J54">
        <v>2250</v>
      </c>
      <c r="K54" s="1" t="str">
        <f>VLOOKUP(uslugi413[[#This Row],[ozn]],$A$2:$D$410,2,FALSE)</f>
        <v>Katowice</v>
      </c>
      <c r="L54" s="1">
        <f>IF(VLOOKUP(uslugi413[[#This Row],[ozn]],$A$2:$D$410,4,FALSE)="z",1,0)</f>
        <v>0</v>
      </c>
      <c r="N54">
        <v>4956781088</v>
      </c>
      <c r="O54" s="1" t="s">
        <v>1472</v>
      </c>
    </row>
    <row r="55" spans="1:15" x14ac:dyDescent="0.25">
      <c r="A55" s="2" t="s">
        <v>146</v>
      </c>
      <c r="B55" s="3" t="s">
        <v>147</v>
      </c>
      <c r="C55" s="3" t="s">
        <v>148</v>
      </c>
      <c r="D55" s="4" t="s">
        <v>7</v>
      </c>
      <c r="F55">
        <v>1278408463</v>
      </c>
      <c r="G55" s="1" t="s">
        <v>314</v>
      </c>
      <c r="H55" s="1" t="s">
        <v>1135</v>
      </c>
      <c r="I55" s="1" t="s">
        <v>1087</v>
      </c>
      <c r="J55">
        <v>2190</v>
      </c>
      <c r="K55" s="1" t="str">
        <f>VLOOKUP(uslugi413[[#This Row],[ozn]],$A$2:$D$410,2,FALSE)</f>
        <v>Konin</v>
      </c>
      <c r="L55" s="1">
        <f>IF(VLOOKUP(uslugi413[[#This Row],[ozn]],$A$2:$D$410,4,FALSE)="z",1,0)</f>
        <v>0</v>
      </c>
      <c r="N55">
        <v>4715154852</v>
      </c>
      <c r="O55" s="1" t="s">
        <v>1473</v>
      </c>
    </row>
    <row r="56" spans="1:15" x14ac:dyDescent="0.25">
      <c r="A56" s="5" t="s">
        <v>149</v>
      </c>
      <c r="B56" s="6" t="s">
        <v>150</v>
      </c>
      <c r="C56" s="6" t="s">
        <v>150</v>
      </c>
      <c r="D56" s="7" t="s">
        <v>22</v>
      </c>
      <c r="F56">
        <v>3114182744</v>
      </c>
      <c r="G56" s="1" t="s">
        <v>270</v>
      </c>
      <c r="H56" s="1" t="s">
        <v>1136</v>
      </c>
      <c r="I56" s="1" t="s">
        <v>1087</v>
      </c>
      <c r="J56">
        <v>2074</v>
      </c>
      <c r="K56" s="1" t="str">
        <f>VLOOKUP(uslugi413[[#This Row],[ozn]],$A$2:$D$410,2,FALSE)</f>
        <v>Katowice</v>
      </c>
      <c r="L56" s="1">
        <f>IF(VLOOKUP(uslugi413[[#This Row],[ozn]],$A$2:$D$410,4,FALSE)="z",1,0)</f>
        <v>0</v>
      </c>
      <c r="N56">
        <v>2581219876</v>
      </c>
      <c r="O56" s="1" t="s">
        <v>1474</v>
      </c>
    </row>
    <row r="57" spans="1:15" x14ac:dyDescent="0.25">
      <c r="A57" s="2" t="s">
        <v>151</v>
      </c>
      <c r="B57" s="3" t="s">
        <v>152</v>
      </c>
      <c r="C57" s="3" t="s">
        <v>153</v>
      </c>
      <c r="D57" s="4" t="s">
        <v>7</v>
      </c>
      <c r="F57">
        <v>4458233905</v>
      </c>
      <c r="G57" s="1" t="s">
        <v>1003</v>
      </c>
      <c r="H57" s="1" t="s">
        <v>1137</v>
      </c>
      <c r="I57" s="1" t="s">
        <v>1081</v>
      </c>
      <c r="J57">
        <v>1200</v>
      </c>
      <c r="K57" s="1" t="str">
        <f>VLOOKUP(uslugi413[[#This Row],[ozn]],$A$2:$D$410,2,FALSE)</f>
        <v>Wroclaw</v>
      </c>
      <c r="L57" s="1">
        <f>IF(VLOOKUP(uslugi413[[#This Row],[ozn]],$A$2:$D$410,4,FALSE)="z",1,0)</f>
        <v>0</v>
      </c>
      <c r="N57">
        <v>3345883725</v>
      </c>
      <c r="O57" s="1" t="s">
        <v>1475</v>
      </c>
    </row>
    <row r="58" spans="1:15" x14ac:dyDescent="0.25">
      <c r="A58" s="5" t="s">
        <v>154</v>
      </c>
      <c r="B58" s="6" t="s">
        <v>155</v>
      </c>
      <c r="C58" s="6" t="s">
        <v>155</v>
      </c>
      <c r="D58" s="7" t="s">
        <v>22</v>
      </c>
      <c r="F58">
        <v>1617995032</v>
      </c>
      <c r="G58" s="1" t="s">
        <v>892</v>
      </c>
      <c r="H58" s="1" t="s">
        <v>1138</v>
      </c>
      <c r="I58" s="1" t="s">
        <v>1081</v>
      </c>
      <c r="J58">
        <v>1965</v>
      </c>
      <c r="K58" s="1" t="str">
        <f>VLOOKUP(uslugi413[[#This Row],[ozn]],$A$2:$D$410,2,FALSE)</f>
        <v>turecki</v>
      </c>
      <c r="L58" s="1">
        <f>IF(VLOOKUP(uslugi413[[#This Row],[ozn]],$A$2:$D$410,4,FALSE)="z",1,0)</f>
        <v>1</v>
      </c>
      <c r="N58">
        <v>5624201652</v>
      </c>
      <c r="O58" s="1" t="s">
        <v>1476</v>
      </c>
    </row>
    <row r="59" spans="1:15" x14ac:dyDescent="0.25">
      <c r="A59" s="2" t="s">
        <v>156</v>
      </c>
      <c r="B59" s="3" t="s">
        <v>157</v>
      </c>
      <c r="C59" s="3" t="s">
        <v>158</v>
      </c>
      <c r="D59" s="4" t="s">
        <v>7</v>
      </c>
      <c r="F59">
        <v>4761158900</v>
      </c>
      <c r="G59" s="1" t="s">
        <v>294</v>
      </c>
      <c r="H59" s="1" t="s">
        <v>1139</v>
      </c>
      <c r="I59" s="1" t="s">
        <v>1081</v>
      </c>
      <c r="J59">
        <v>1894</v>
      </c>
      <c r="K59" s="1" t="str">
        <f>VLOOKUP(uslugi413[[#This Row],[ozn]],$A$2:$D$410,2,FALSE)</f>
        <v>kluczborski</v>
      </c>
      <c r="L59" s="1">
        <f>IF(VLOOKUP(uslugi413[[#This Row],[ozn]],$A$2:$D$410,4,FALSE)="z",1,0)</f>
        <v>1</v>
      </c>
      <c r="N59">
        <v>5581610439</v>
      </c>
      <c r="O59" s="1" t="s">
        <v>1477</v>
      </c>
    </row>
    <row r="60" spans="1:15" x14ac:dyDescent="0.25">
      <c r="A60" s="5" t="s">
        <v>159</v>
      </c>
      <c r="B60" s="6" t="s">
        <v>160</v>
      </c>
      <c r="C60" s="6" t="s">
        <v>160</v>
      </c>
      <c r="D60" s="7" t="s">
        <v>22</v>
      </c>
      <c r="F60">
        <v>4241680809</v>
      </c>
      <c r="G60" s="1" t="s">
        <v>270</v>
      </c>
      <c r="H60" s="1" t="s">
        <v>1140</v>
      </c>
      <c r="I60" s="1" t="s">
        <v>1087</v>
      </c>
      <c r="J60">
        <v>1946</v>
      </c>
      <c r="K60" s="1" t="str">
        <f>VLOOKUP(uslugi413[[#This Row],[ozn]],$A$2:$D$410,2,FALSE)</f>
        <v>Katowice</v>
      </c>
      <c r="L60" s="1">
        <f>IF(VLOOKUP(uslugi413[[#This Row],[ozn]],$A$2:$D$410,4,FALSE)="z",1,0)</f>
        <v>0</v>
      </c>
      <c r="N60">
        <v>3470453173</v>
      </c>
      <c r="O60" s="1" t="s">
        <v>1478</v>
      </c>
    </row>
    <row r="61" spans="1:15" x14ac:dyDescent="0.25">
      <c r="A61" s="2" t="s">
        <v>161</v>
      </c>
      <c r="B61" s="3" t="s">
        <v>162</v>
      </c>
      <c r="C61" s="3" t="s">
        <v>160</v>
      </c>
      <c r="D61" s="4" t="s">
        <v>7</v>
      </c>
      <c r="F61">
        <v>1524870307</v>
      </c>
      <c r="G61" s="1" t="s">
        <v>270</v>
      </c>
      <c r="H61" s="1" t="s">
        <v>1141</v>
      </c>
      <c r="I61" s="1" t="s">
        <v>1081</v>
      </c>
      <c r="J61">
        <v>1810</v>
      </c>
      <c r="K61" s="1" t="str">
        <f>VLOOKUP(uslugi413[[#This Row],[ozn]],$A$2:$D$410,2,FALSE)</f>
        <v>Katowice</v>
      </c>
      <c r="L61" s="1">
        <f>IF(VLOOKUP(uslugi413[[#This Row],[ozn]],$A$2:$D$410,4,FALSE)="z",1,0)</f>
        <v>0</v>
      </c>
      <c r="N61">
        <v>6758177505</v>
      </c>
      <c r="O61" s="1" t="s">
        <v>1479</v>
      </c>
    </row>
    <row r="62" spans="1:15" x14ac:dyDescent="0.25">
      <c r="A62" s="5" t="s">
        <v>163</v>
      </c>
      <c r="B62" s="6" t="s">
        <v>164</v>
      </c>
      <c r="C62" s="6" t="s">
        <v>165</v>
      </c>
      <c r="D62" s="7" t="s">
        <v>7</v>
      </c>
      <c r="F62">
        <v>1818291355</v>
      </c>
      <c r="G62" s="1" t="s">
        <v>270</v>
      </c>
      <c r="H62" s="1" t="s">
        <v>1142</v>
      </c>
      <c r="I62" s="1" t="s">
        <v>1081</v>
      </c>
      <c r="J62">
        <v>2448</v>
      </c>
      <c r="K62" s="1" t="str">
        <f>VLOOKUP(uslugi413[[#This Row],[ozn]],$A$2:$D$410,2,FALSE)</f>
        <v>Katowice</v>
      </c>
      <c r="L62" s="1">
        <f>IF(VLOOKUP(uslugi413[[#This Row],[ozn]],$A$2:$D$410,4,FALSE)="z",1,0)</f>
        <v>0</v>
      </c>
    </row>
    <row r="63" spans="1:15" x14ac:dyDescent="0.25">
      <c r="A63" s="2" t="s">
        <v>166</v>
      </c>
      <c r="B63" s="3" t="s">
        <v>167</v>
      </c>
      <c r="C63" s="3" t="s">
        <v>168</v>
      </c>
      <c r="D63" s="4" t="s">
        <v>7</v>
      </c>
      <c r="F63">
        <v>4653095092</v>
      </c>
      <c r="G63" s="1" t="s">
        <v>527</v>
      </c>
      <c r="H63" s="1" t="s">
        <v>1143</v>
      </c>
      <c r="I63" s="1" t="s">
        <v>1087</v>
      </c>
      <c r="J63">
        <v>1995</v>
      </c>
      <c r="K63" s="1" t="str">
        <f>VLOOKUP(uslugi413[[#This Row],[ozn]],$A$2:$D$410,2,FALSE)</f>
        <v>nyski</v>
      </c>
      <c r="L63" s="1">
        <f>IF(VLOOKUP(uslugi413[[#This Row],[ozn]],$A$2:$D$410,4,FALSE)="z",1,0)</f>
        <v>1</v>
      </c>
    </row>
    <row r="64" spans="1:15" x14ac:dyDescent="0.25">
      <c r="A64" s="5" t="s">
        <v>169</v>
      </c>
      <c r="B64" s="6" t="s">
        <v>170</v>
      </c>
      <c r="C64" s="6" t="s">
        <v>171</v>
      </c>
      <c r="D64" s="7" t="s">
        <v>7</v>
      </c>
      <c r="F64">
        <v>6758177505</v>
      </c>
      <c r="G64" s="1" t="s">
        <v>869</v>
      </c>
      <c r="H64" s="1" t="s">
        <v>1144</v>
      </c>
      <c r="I64" s="1" t="s">
        <v>1081</v>
      </c>
      <c r="J64">
        <v>2216</v>
      </c>
      <c r="K64" s="1" t="str">
        <f>VLOOKUP(uslugi413[[#This Row],[ozn]],$A$2:$D$410,2,FALSE)</f>
        <v>tarnowski</v>
      </c>
      <c r="L64" s="1">
        <f>IF(VLOOKUP(uslugi413[[#This Row],[ozn]],$A$2:$D$410,4,FALSE)="z",1,0)</f>
        <v>1</v>
      </c>
    </row>
    <row r="65" spans="1:12" x14ac:dyDescent="0.25">
      <c r="A65" s="2" t="s">
        <v>172</v>
      </c>
      <c r="B65" s="3" t="s">
        <v>173</v>
      </c>
      <c r="C65" s="3" t="s">
        <v>174</v>
      </c>
      <c r="D65" s="4" t="s">
        <v>7</v>
      </c>
      <c r="F65">
        <v>1278408463</v>
      </c>
      <c r="G65" s="1" t="s">
        <v>314</v>
      </c>
      <c r="H65" s="1" t="s">
        <v>1145</v>
      </c>
      <c r="I65" s="1" t="s">
        <v>1081</v>
      </c>
      <c r="J65">
        <v>2226</v>
      </c>
      <c r="K65" s="1" t="str">
        <f>VLOOKUP(uslugi413[[#This Row],[ozn]],$A$2:$D$410,2,FALSE)</f>
        <v>Konin</v>
      </c>
      <c r="L65" s="1">
        <f>IF(VLOOKUP(uslugi413[[#This Row],[ozn]],$A$2:$D$410,4,FALSE)="z",1,0)</f>
        <v>0</v>
      </c>
    </row>
    <row r="66" spans="1:12" x14ac:dyDescent="0.25">
      <c r="A66" s="5" t="s">
        <v>175</v>
      </c>
      <c r="B66" s="6" t="s">
        <v>176</v>
      </c>
      <c r="C66" s="6" t="s">
        <v>177</v>
      </c>
      <c r="D66" s="7" t="s">
        <v>7</v>
      </c>
      <c r="F66">
        <v>3318203338</v>
      </c>
      <c r="G66" s="1" t="s">
        <v>270</v>
      </c>
      <c r="H66" s="1" t="s">
        <v>1146</v>
      </c>
      <c r="I66" s="1" t="s">
        <v>1081</v>
      </c>
      <c r="J66">
        <v>2640</v>
      </c>
      <c r="K66" s="1" t="str">
        <f>VLOOKUP(uslugi413[[#This Row],[ozn]],$A$2:$D$410,2,FALSE)</f>
        <v>Katowice</v>
      </c>
      <c r="L66" s="1">
        <f>IF(VLOOKUP(uslugi413[[#This Row],[ozn]],$A$2:$D$410,4,FALSE)="z",1,0)</f>
        <v>0</v>
      </c>
    </row>
    <row r="67" spans="1:12" x14ac:dyDescent="0.25">
      <c r="A67" s="2" t="s">
        <v>178</v>
      </c>
      <c r="B67" s="3" t="s">
        <v>179</v>
      </c>
      <c r="C67" s="3" t="s">
        <v>180</v>
      </c>
      <c r="D67" s="4" t="s">
        <v>7</v>
      </c>
      <c r="F67">
        <v>1617995032</v>
      </c>
      <c r="G67" s="1" t="s">
        <v>892</v>
      </c>
      <c r="H67" s="1" t="s">
        <v>1147</v>
      </c>
      <c r="I67" s="1" t="s">
        <v>1081</v>
      </c>
      <c r="J67">
        <v>2358</v>
      </c>
      <c r="K67" s="1" t="str">
        <f>VLOOKUP(uslugi413[[#This Row],[ozn]],$A$2:$D$410,2,FALSE)</f>
        <v>turecki</v>
      </c>
      <c r="L67" s="1">
        <f>IF(VLOOKUP(uslugi413[[#This Row],[ozn]],$A$2:$D$410,4,FALSE)="z",1,0)</f>
        <v>1</v>
      </c>
    </row>
    <row r="68" spans="1:12" x14ac:dyDescent="0.25">
      <c r="A68" s="5" t="s">
        <v>181</v>
      </c>
      <c r="B68" s="6" t="s">
        <v>182</v>
      </c>
      <c r="C68" s="6" t="s">
        <v>183</v>
      </c>
      <c r="D68" s="7" t="s">
        <v>7</v>
      </c>
      <c r="F68">
        <v>4458233905</v>
      </c>
      <c r="G68" s="1" t="s">
        <v>1003</v>
      </c>
      <c r="H68" s="1" t="s">
        <v>1148</v>
      </c>
      <c r="I68" s="1" t="s">
        <v>1087</v>
      </c>
      <c r="J68">
        <v>2175</v>
      </c>
      <c r="K68" s="1" t="str">
        <f>VLOOKUP(uslugi413[[#This Row],[ozn]],$A$2:$D$410,2,FALSE)</f>
        <v>Wroclaw</v>
      </c>
      <c r="L68" s="1">
        <f>IF(VLOOKUP(uslugi413[[#This Row],[ozn]],$A$2:$D$410,4,FALSE)="z",1,0)</f>
        <v>0</v>
      </c>
    </row>
    <row r="69" spans="1:12" x14ac:dyDescent="0.25">
      <c r="A69" s="2" t="s">
        <v>184</v>
      </c>
      <c r="B69" s="3" t="s">
        <v>185</v>
      </c>
      <c r="C69" s="3" t="s">
        <v>186</v>
      </c>
      <c r="D69" s="4" t="s">
        <v>7</v>
      </c>
      <c r="F69">
        <v>1361555378</v>
      </c>
      <c r="G69" s="1" t="s">
        <v>270</v>
      </c>
      <c r="H69" s="1" t="s">
        <v>1149</v>
      </c>
      <c r="I69" s="1" t="s">
        <v>1081</v>
      </c>
      <c r="J69">
        <v>2972</v>
      </c>
      <c r="K69" s="1" t="str">
        <f>VLOOKUP(uslugi413[[#This Row],[ozn]],$A$2:$D$410,2,FALSE)</f>
        <v>Katowice</v>
      </c>
      <c r="L69" s="1">
        <f>IF(VLOOKUP(uslugi413[[#This Row],[ozn]],$A$2:$D$410,4,FALSE)="z",1,0)</f>
        <v>0</v>
      </c>
    </row>
    <row r="70" spans="1:12" x14ac:dyDescent="0.25">
      <c r="A70" s="5" t="s">
        <v>187</v>
      </c>
      <c r="B70" s="6" t="s">
        <v>188</v>
      </c>
      <c r="C70" s="6" t="s">
        <v>188</v>
      </c>
      <c r="D70" s="7" t="s">
        <v>22</v>
      </c>
      <c r="F70">
        <v>6758177505</v>
      </c>
      <c r="G70" s="1" t="s">
        <v>862</v>
      </c>
      <c r="H70" s="1" t="s">
        <v>1150</v>
      </c>
      <c r="I70" s="1" t="s">
        <v>1081</v>
      </c>
      <c r="J70">
        <v>1779</v>
      </c>
      <c r="K70" s="1" t="str">
        <f>VLOOKUP(uslugi413[[#This Row],[ozn]],$A$2:$D$410,2,FALSE)</f>
        <v>tarnobrzeski</v>
      </c>
      <c r="L70" s="1">
        <f>IF(VLOOKUP(uslugi413[[#This Row],[ozn]],$A$2:$D$410,4,FALSE)="z",1,0)</f>
        <v>1</v>
      </c>
    </row>
    <row r="71" spans="1:12" x14ac:dyDescent="0.25">
      <c r="A71" s="2" t="s">
        <v>189</v>
      </c>
      <c r="B71" s="3" t="s">
        <v>190</v>
      </c>
      <c r="C71" s="3" t="s">
        <v>191</v>
      </c>
      <c r="D71" s="4" t="s">
        <v>7</v>
      </c>
      <c r="F71">
        <v>3318203338</v>
      </c>
      <c r="G71" s="1" t="s">
        <v>270</v>
      </c>
      <c r="H71" s="1" t="s">
        <v>1151</v>
      </c>
      <c r="I71" s="1" t="s">
        <v>1087</v>
      </c>
      <c r="J71">
        <v>2165</v>
      </c>
      <c r="K71" s="1" t="str">
        <f>VLOOKUP(uslugi413[[#This Row],[ozn]],$A$2:$D$410,2,FALSE)</f>
        <v>Katowice</v>
      </c>
      <c r="L71" s="1">
        <f>IF(VLOOKUP(uslugi413[[#This Row],[ozn]],$A$2:$D$410,4,FALSE)="z",1,0)</f>
        <v>0</v>
      </c>
    </row>
    <row r="72" spans="1:12" x14ac:dyDescent="0.25">
      <c r="A72" s="5" t="s">
        <v>192</v>
      </c>
      <c r="B72" s="6" t="s">
        <v>193</v>
      </c>
      <c r="C72" s="6" t="s">
        <v>194</v>
      </c>
      <c r="D72" s="7" t="s">
        <v>7</v>
      </c>
      <c r="F72">
        <v>5459753232</v>
      </c>
      <c r="G72" s="1" t="s">
        <v>737</v>
      </c>
      <c r="H72" s="1" t="s">
        <v>1152</v>
      </c>
      <c r="I72" s="1" t="s">
        <v>1081</v>
      </c>
      <c r="J72">
        <v>2758</v>
      </c>
      <c r="K72" s="1" t="str">
        <f>VLOOKUP(uslugi413[[#This Row],[ozn]],$A$2:$D$410,2,FALSE)</f>
        <v>siemiatycki</v>
      </c>
      <c r="L72" s="1">
        <f>IF(VLOOKUP(uslugi413[[#This Row],[ozn]],$A$2:$D$410,4,FALSE)="z",1,0)</f>
        <v>1</v>
      </c>
    </row>
    <row r="73" spans="1:12" x14ac:dyDescent="0.25">
      <c r="A73" s="2" t="s">
        <v>195</v>
      </c>
      <c r="B73" s="3" t="s">
        <v>196</v>
      </c>
      <c r="C73" s="3" t="s">
        <v>197</v>
      </c>
      <c r="D73" s="4" t="s">
        <v>7</v>
      </c>
      <c r="F73">
        <v>4326751508</v>
      </c>
      <c r="G73" s="1" t="s">
        <v>40</v>
      </c>
      <c r="H73" s="1" t="s">
        <v>1153</v>
      </c>
      <c r="I73" s="1" t="s">
        <v>1087</v>
      </c>
      <c r="J73">
        <v>2198</v>
      </c>
      <c r="K73" s="1" t="str">
        <f>VLOOKUP(uslugi413[[#This Row],[ozn]],$A$2:$D$410,2,FALSE)</f>
        <v>Bielsko-Biala</v>
      </c>
      <c r="L73" s="1">
        <f>IF(VLOOKUP(uslugi413[[#This Row],[ozn]],$A$2:$D$410,4,FALSE)="z",1,0)</f>
        <v>0</v>
      </c>
    </row>
    <row r="74" spans="1:12" x14ac:dyDescent="0.25">
      <c r="A74" s="5" t="s">
        <v>198</v>
      </c>
      <c r="B74" s="6" t="s">
        <v>199</v>
      </c>
      <c r="C74" s="6" t="s">
        <v>200</v>
      </c>
      <c r="D74" s="7" t="s">
        <v>7</v>
      </c>
      <c r="F74">
        <v>4326751508</v>
      </c>
      <c r="G74" s="1" t="s">
        <v>40</v>
      </c>
      <c r="H74" s="1" t="s">
        <v>1154</v>
      </c>
      <c r="I74" s="1" t="s">
        <v>1087</v>
      </c>
      <c r="J74">
        <v>1902</v>
      </c>
      <c r="K74" s="1" t="str">
        <f>VLOOKUP(uslugi413[[#This Row],[ozn]],$A$2:$D$410,2,FALSE)</f>
        <v>Bielsko-Biala</v>
      </c>
      <c r="L74" s="1">
        <f>IF(VLOOKUP(uslugi413[[#This Row],[ozn]],$A$2:$D$410,4,FALSE)="z",1,0)</f>
        <v>0</v>
      </c>
    </row>
    <row r="75" spans="1:12" x14ac:dyDescent="0.25">
      <c r="A75" s="2" t="s">
        <v>201</v>
      </c>
      <c r="B75" s="3" t="s">
        <v>202</v>
      </c>
      <c r="C75" s="3" t="s">
        <v>203</v>
      </c>
      <c r="D75" s="4" t="s">
        <v>7</v>
      </c>
      <c r="F75">
        <v>4458233905</v>
      </c>
      <c r="G75" s="1" t="s">
        <v>270</v>
      </c>
      <c r="H75" s="1" t="s">
        <v>1155</v>
      </c>
      <c r="I75" s="1" t="s">
        <v>1087</v>
      </c>
      <c r="J75">
        <v>2318</v>
      </c>
      <c r="K75" s="1" t="str">
        <f>VLOOKUP(uslugi413[[#This Row],[ozn]],$A$2:$D$410,2,FALSE)</f>
        <v>Katowice</v>
      </c>
      <c r="L75" s="1">
        <f>IF(VLOOKUP(uslugi413[[#This Row],[ozn]],$A$2:$D$410,4,FALSE)="z",1,0)</f>
        <v>0</v>
      </c>
    </row>
    <row r="76" spans="1:12" x14ac:dyDescent="0.25">
      <c r="A76" s="5" t="s">
        <v>204</v>
      </c>
      <c r="B76" s="6" t="s">
        <v>202</v>
      </c>
      <c r="C76" s="6" t="s">
        <v>205</v>
      </c>
      <c r="D76" s="7" t="s">
        <v>7</v>
      </c>
      <c r="F76">
        <v>3470453173</v>
      </c>
      <c r="G76" s="1" t="s">
        <v>85</v>
      </c>
      <c r="H76" s="1" t="s">
        <v>1156</v>
      </c>
      <c r="I76" s="1" t="s">
        <v>1081</v>
      </c>
      <c r="J76">
        <v>2415</v>
      </c>
      <c r="K76" s="1" t="str">
        <f>VLOOKUP(uslugi413[[#This Row],[ozn]],$A$2:$D$410,2,FALSE)</f>
        <v>Chelm</v>
      </c>
      <c r="L76" s="1">
        <f>IF(VLOOKUP(uslugi413[[#This Row],[ozn]],$A$2:$D$410,4,FALSE)="z",1,0)</f>
        <v>0</v>
      </c>
    </row>
    <row r="77" spans="1:12" x14ac:dyDescent="0.25">
      <c r="A77" s="2" t="s">
        <v>206</v>
      </c>
      <c r="B77" s="3" t="s">
        <v>207</v>
      </c>
      <c r="C77" s="3" t="s">
        <v>208</v>
      </c>
      <c r="D77" s="4" t="s">
        <v>7</v>
      </c>
      <c r="F77">
        <v>1524870307</v>
      </c>
      <c r="G77" s="1" t="s">
        <v>270</v>
      </c>
      <c r="H77" s="1" t="s">
        <v>1157</v>
      </c>
      <c r="I77" s="1" t="s">
        <v>1087</v>
      </c>
      <c r="J77">
        <v>1893</v>
      </c>
      <c r="K77" s="1" t="str">
        <f>VLOOKUP(uslugi413[[#This Row],[ozn]],$A$2:$D$410,2,FALSE)</f>
        <v>Katowice</v>
      </c>
      <c r="L77" s="1">
        <f>IF(VLOOKUP(uslugi413[[#This Row],[ozn]],$A$2:$D$410,4,FALSE)="z",1,0)</f>
        <v>0</v>
      </c>
    </row>
    <row r="78" spans="1:12" x14ac:dyDescent="0.25">
      <c r="A78" s="5" t="s">
        <v>209</v>
      </c>
      <c r="B78" s="6" t="s">
        <v>210</v>
      </c>
      <c r="C78" s="6" t="s">
        <v>210</v>
      </c>
      <c r="D78" s="7" t="s">
        <v>22</v>
      </c>
      <c r="F78">
        <v>2245871126</v>
      </c>
      <c r="G78" s="1" t="s">
        <v>73</v>
      </c>
      <c r="H78" s="1" t="s">
        <v>1158</v>
      </c>
      <c r="I78" s="1" t="s">
        <v>1087</v>
      </c>
      <c r="J78">
        <v>1950</v>
      </c>
      <c r="K78" s="1" t="str">
        <f>VLOOKUP(uslugi413[[#This Row],[ozn]],$A$2:$D$410,2,FALSE)</f>
        <v>buski</v>
      </c>
      <c r="L78" s="1">
        <f>IF(VLOOKUP(uslugi413[[#This Row],[ozn]],$A$2:$D$410,4,FALSE)="z",1,0)</f>
        <v>1</v>
      </c>
    </row>
    <row r="79" spans="1:12" x14ac:dyDescent="0.25">
      <c r="A79" s="2" t="s">
        <v>211</v>
      </c>
      <c r="B79" s="3" t="s">
        <v>212</v>
      </c>
      <c r="C79" s="3" t="s">
        <v>210</v>
      </c>
      <c r="D79" s="4" t="s">
        <v>7</v>
      </c>
      <c r="F79">
        <v>2281651150</v>
      </c>
      <c r="G79" s="1" t="s">
        <v>552</v>
      </c>
      <c r="H79" s="1" t="s">
        <v>1159</v>
      </c>
      <c r="I79" s="1" t="s">
        <v>1087</v>
      </c>
      <c r="J79">
        <v>2575</v>
      </c>
      <c r="K79" s="1" t="str">
        <f>VLOOKUP(uslugi413[[#This Row],[ozn]],$A$2:$D$410,2,FALSE)</f>
        <v>olsztynski</v>
      </c>
      <c r="L79" s="1">
        <f>IF(VLOOKUP(uslugi413[[#This Row],[ozn]],$A$2:$D$410,4,FALSE)="z",1,0)</f>
        <v>1</v>
      </c>
    </row>
    <row r="80" spans="1:12" x14ac:dyDescent="0.25">
      <c r="A80" s="5" t="s">
        <v>213</v>
      </c>
      <c r="B80" s="6" t="s">
        <v>214</v>
      </c>
      <c r="C80" s="6" t="s">
        <v>215</v>
      </c>
      <c r="D80" s="7" t="s">
        <v>7</v>
      </c>
      <c r="F80">
        <v>5266741491</v>
      </c>
      <c r="G80" s="1" t="s">
        <v>636</v>
      </c>
      <c r="H80" s="1" t="s">
        <v>1160</v>
      </c>
      <c r="I80" s="1" t="s">
        <v>1081</v>
      </c>
      <c r="J80">
        <v>2565</v>
      </c>
      <c r="K80" s="1" t="str">
        <f>VLOOKUP(uslugi413[[#This Row],[ozn]],$A$2:$D$410,2,FALSE)</f>
        <v>Poznan</v>
      </c>
      <c r="L80" s="1">
        <f>IF(VLOOKUP(uslugi413[[#This Row],[ozn]],$A$2:$D$410,4,FALSE)="z",1,0)</f>
        <v>0</v>
      </c>
    </row>
    <row r="81" spans="1:12" x14ac:dyDescent="0.25">
      <c r="A81" s="2" t="s">
        <v>216</v>
      </c>
      <c r="B81" s="3" t="s">
        <v>217</v>
      </c>
      <c r="C81" s="3" t="s">
        <v>218</v>
      </c>
      <c r="D81" s="4" t="s">
        <v>7</v>
      </c>
      <c r="F81">
        <v>5341884086</v>
      </c>
      <c r="G81" s="1" t="s">
        <v>636</v>
      </c>
      <c r="H81" s="1" t="s">
        <v>1161</v>
      </c>
      <c r="I81" s="1" t="s">
        <v>1081</v>
      </c>
      <c r="J81">
        <v>1970</v>
      </c>
      <c r="K81" s="1" t="str">
        <f>VLOOKUP(uslugi413[[#This Row],[ozn]],$A$2:$D$410,2,FALSE)</f>
        <v>Poznan</v>
      </c>
      <c r="L81" s="1">
        <f>IF(VLOOKUP(uslugi413[[#This Row],[ozn]],$A$2:$D$410,4,FALSE)="z",1,0)</f>
        <v>0</v>
      </c>
    </row>
    <row r="82" spans="1:12" x14ac:dyDescent="0.25">
      <c r="A82" s="5" t="s">
        <v>219</v>
      </c>
      <c r="B82" s="6" t="s">
        <v>220</v>
      </c>
      <c r="C82" s="6" t="s">
        <v>221</v>
      </c>
      <c r="D82" s="7" t="s">
        <v>7</v>
      </c>
      <c r="F82">
        <v>5459753232</v>
      </c>
      <c r="G82" s="1" t="s">
        <v>737</v>
      </c>
      <c r="H82" s="1" t="s">
        <v>1162</v>
      </c>
      <c r="I82" s="1" t="s">
        <v>1087</v>
      </c>
      <c r="J82">
        <v>1950</v>
      </c>
      <c r="K82" s="1" t="str">
        <f>VLOOKUP(uslugi413[[#This Row],[ozn]],$A$2:$D$410,2,FALSE)</f>
        <v>siemiatycki</v>
      </c>
      <c r="L82" s="1">
        <f>IF(VLOOKUP(uslugi413[[#This Row],[ozn]],$A$2:$D$410,4,FALSE)="z",1,0)</f>
        <v>1</v>
      </c>
    </row>
    <row r="83" spans="1:12" x14ac:dyDescent="0.25">
      <c r="A83" s="2" t="s">
        <v>222</v>
      </c>
      <c r="B83" s="3" t="s">
        <v>223</v>
      </c>
      <c r="C83" s="3" t="s">
        <v>224</v>
      </c>
      <c r="D83" s="4" t="s">
        <v>7</v>
      </c>
      <c r="F83">
        <v>1617995032</v>
      </c>
      <c r="G83" s="1" t="s">
        <v>892</v>
      </c>
      <c r="H83" s="1" t="s">
        <v>1163</v>
      </c>
      <c r="I83" s="1" t="s">
        <v>1081</v>
      </c>
      <c r="J83">
        <v>2448</v>
      </c>
      <c r="K83" s="1" t="str">
        <f>VLOOKUP(uslugi413[[#This Row],[ozn]],$A$2:$D$410,2,FALSE)</f>
        <v>turecki</v>
      </c>
      <c r="L83" s="1">
        <f>IF(VLOOKUP(uslugi413[[#This Row],[ozn]],$A$2:$D$410,4,FALSE)="z",1,0)</f>
        <v>1</v>
      </c>
    </row>
    <row r="84" spans="1:12" x14ac:dyDescent="0.25">
      <c r="A84" s="5" t="s">
        <v>225</v>
      </c>
      <c r="B84" s="6" t="s">
        <v>226</v>
      </c>
      <c r="C84" s="6" t="s">
        <v>227</v>
      </c>
      <c r="D84" s="7" t="s">
        <v>7</v>
      </c>
      <c r="F84">
        <v>5185759244</v>
      </c>
      <c r="G84" s="1" t="s">
        <v>636</v>
      </c>
      <c r="H84" s="1" t="s">
        <v>1164</v>
      </c>
      <c r="I84" s="1" t="s">
        <v>1087</v>
      </c>
      <c r="J84">
        <v>2688</v>
      </c>
      <c r="K84" s="1" t="str">
        <f>VLOOKUP(uslugi413[[#This Row],[ozn]],$A$2:$D$410,2,FALSE)</f>
        <v>Poznan</v>
      </c>
      <c r="L84" s="1">
        <f>IF(VLOOKUP(uslugi413[[#This Row],[ozn]],$A$2:$D$410,4,FALSE)="z",1,0)</f>
        <v>0</v>
      </c>
    </row>
    <row r="85" spans="1:12" x14ac:dyDescent="0.25">
      <c r="A85" s="2" t="s">
        <v>228</v>
      </c>
      <c r="B85" s="3" t="s">
        <v>229</v>
      </c>
      <c r="C85" s="3" t="s">
        <v>230</v>
      </c>
      <c r="D85" s="4" t="s">
        <v>7</v>
      </c>
      <c r="F85">
        <v>3568004264</v>
      </c>
      <c r="G85" s="1" t="s">
        <v>428</v>
      </c>
      <c r="H85" s="1" t="s">
        <v>1165</v>
      </c>
      <c r="I85" s="1" t="s">
        <v>1081</v>
      </c>
      <c r="J85">
        <v>2185</v>
      </c>
      <c r="K85" s="1" t="str">
        <f>VLOOKUP(uslugi413[[#This Row],[ozn]],$A$2:$D$410,2,FALSE)</f>
        <v>lubelski</v>
      </c>
      <c r="L85" s="1">
        <f>IF(VLOOKUP(uslugi413[[#This Row],[ozn]],$A$2:$D$410,4,FALSE)="z",1,0)</f>
        <v>1</v>
      </c>
    </row>
    <row r="86" spans="1:12" x14ac:dyDescent="0.25">
      <c r="A86" s="5" t="s">
        <v>231</v>
      </c>
      <c r="B86" s="6" t="s">
        <v>232</v>
      </c>
      <c r="C86" s="6" t="s">
        <v>233</v>
      </c>
      <c r="D86" s="7" t="s">
        <v>7</v>
      </c>
      <c r="F86">
        <v>1620242236</v>
      </c>
      <c r="G86" s="1" t="s">
        <v>314</v>
      </c>
      <c r="H86" s="1" t="s">
        <v>1166</v>
      </c>
      <c r="I86" s="1" t="s">
        <v>1087</v>
      </c>
      <c r="J86">
        <v>3192</v>
      </c>
      <c r="K86" s="1" t="str">
        <f>VLOOKUP(uslugi413[[#This Row],[ozn]],$A$2:$D$410,2,FALSE)</f>
        <v>Konin</v>
      </c>
      <c r="L86" s="1">
        <f>IF(VLOOKUP(uslugi413[[#This Row],[ozn]],$A$2:$D$410,4,FALSE)="z",1,0)</f>
        <v>0</v>
      </c>
    </row>
    <row r="87" spans="1:12" x14ac:dyDescent="0.25">
      <c r="A87" s="2" t="s">
        <v>234</v>
      </c>
      <c r="B87" s="3" t="s">
        <v>235</v>
      </c>
      <c r="C87" s="3" t="s">
        <v>236</v>
      </c>
      <c r="D87" s="4" t="s">
        <v>7</v>
      </c>
      <c r="F87">
        <v>3470453173</v>
      </c>
      <c r="G87" s="1" t="s">
        <v>85</v>
      </c>
      <c r="H87" s="1" t="s">
        <v>1167</v>
      </c>
      <c r="I87" s="1" t="s">
        <v>1087</v>
      </c>
      <c r="J87">
        <v>2464</v>
      </c>
      <c r="K87" s="1" t="str">
        <f>VLOOKUP(uslugi413[[#This Row],[ozn]],$A$2:$D$410,2,FALSE)</f>
        <v>Chelm</v>
      </c>
      <c r="L87" s="1">
        <f>IF(VLOOKUP(uslugi413[[#This Row],[ozn]],$A$2:$D$410,4,FALSE)="z",1,0)</f>
        <v>0</v>
      </c>
    </row>
    <row r="88" spans="1:12" x14ac:dyDescent="0.25">
      <c r="A88" s="5" t="s">
        <v>237</v>
      </c>
      <c r="B88" s="6" t="s">
        <v>238</v>
      </c>
      <c r="C88" s="6" t="s">
        <v>239</v>
      </c>
      <c r="D88" s="7" t="s">
        <v>7</v>
      </c>
      <c r="F88">
        <v>6727559092</v>
      </c>
      <c r="G88" s="1" t="s">
        <v>862</v>
      </c>
      <c r="H88" s="1" t="s">
        <v>1168</v>
      </c>
      <c r="I88" s="1" t="s">
        <v>1087</v>
      </c>
      <c r="J88">
        <v>2034</v>
      </c>
      <c r="K88" s="1" t="str">
        <f>VLOOKUP(uslugi413[[#This Row],[ozn]],$A$2:$D$410,2,FALSE)</f>
        <v>tarnobrzeski</v>
      </c>
      <c r="L88" s="1">
        <f>IF(VLOOKUP(uslugi413[[#This Row],[ozn]],$A$2:$D$410,4,FALSE)="z",1,0)</f>
        <v>1</v>
      </c>
    </row>
    <row r="89" spans="1:12" x14ac:dyDescent="0.25">
      <c r="A89" s="2" t="s">
        <v>240</v>
      </c>
      <c r="B89" s="3" t="s">
        <v>241</v>
      </c>
      <c r="C89" s="3" t="s">
        <v>242</v>
      </c>
      <c r="D89" s="4" t="s">
        <v>7</v>
      </c>
      <c r="F89">
        <v>1127056356</v>
      </c>
      <c r="G89" s="1" t="s">
        <v>317</v>
      </c>
      <c r="H89" s="1" t="s">
        <v>1169</v>
      </c>
      <c r="I89" s="1" t="s">
        <v>1081</v>
      </c>
      <c r="J89">
        <v>2436</v>
      </c>
      <c r="K89" s="1" t="str">
        <f>VLOOKUP(uslugi413[[#This Row],[ozn]],$A$2:$D$410,2,FALSE)</f>
        <v>koscianski</v>
      </c>
      <c r="L89" s="1">
        <f>IF(VLOOKUP(uslugi413[[#This Row],[ozn]],$A$2:$D$410,4,FALSE)="z",1,0)</f>
        <v>1</v>
      </c>
    </row>
    <row r="90" spans="1:12" x14ac:dyDescent="0.25">
      <c r="A90" s="5" t="s">
        <v>243</v>
      </c>
      <c r="B90" s="6" t="s">
        <v>244</v>
      </c>
      <c r="C90" s="6" t="s">
        <v>244</v>
      </c>
      <c r="D90" s="7" t="s">
        <v>22</v>
      </c>
      <c r="F90">
        <v>6727559092</v>
      </c>
      <c r="G90" s="1" t="s">
        <v>862</v>
      </c>
      <c r="H90" s="1" t="s">
        <v>1170</v>
      </c>
      <c r="I90" s="1" t="s">
        <v>1087</v>
      </c>
      <c r="J90">
        <v>2114</v>
      </c>
      <c r="K90" s="1" t="str">
        <f>VLOOKUP(uslugi413[[#This Row],[ozn]],$A$2:$D$410,2,FALSE)</f>
        <v>tarnobrzeski</v>
      </c>
      <c r="L90" s="1">
        <f>IF(VLOOKUP(uslugi413[[#This Row],[ozn]],$A$2:$D$410,4,FALSE)="z",1,0)</f>
        <v>1</v>
      </c>
    </row>
    <row r="91" spans="1:12" x14ac:dyDescent="0.25">
      <c r="A91" s="2" t="s">
        <v>245</v>
      </c>
      <c r="B91" s="3" t="s">
        <v>246</v>
      </c>
      <c r="C91" s="3" t="s">
        <v>247</v>
      </c>
      <c r="D91" s="4" t="s">
        <v>7</v>
      </c>
      <c r="F91">
        <v>1939065269</v>
      </c>
      <c r="G91" s="1" t="s">
        <v>636</v>
      </c>
      <c r="H91" s="1" t="s">
        <v>1171</v>
      </c>
      <c r="I91" s="1" t="s">
        <v>1081</v>
      </c>
      <c r="J91">
        <v>2390</v>
      </c>
      <c r="K91" s="1" t="str">
        <f>VLOOKUP(uslugi413[[#This Row],[ozn]],$A$2:$D$410,2,FALSE)</f>
        <v>Poznan</v>
      </c>
      <c r="L91" s="1">
        <f>IF(VLOOKUP(uslugi413[[#This Row],[ozn]],$A$2:$D$410,4,FALSE)="z",1,0)</f>
        <v>0</v>
      </c>
    </row>
    <row r="92" spans="1:12" x14ac:dyDescent="0.25">
      <c r="A92" s="5" t="s">
        <v>248</v>
      </c>
      <c r="B92" s="6" t="s">
        <v>249</v>
      </c>
      <c r="C92" s="6" t="s">
        <v>249</v>
      </c>
      <c r="D92" s="7" t="s">
        <v>22</v>
      </c>
      <c r="F92">
        <v>1820566794</v>
      </c>
      <c r="G92" s="1" t="s">
        <v>604</v>
      </c>
      <c r="H92" s="1" t="s">
        <v>1172</v>
      </c>
      <c r="I92" s="1" t="s">
        <v>1081</v>
      </c>
      <c r="J92">
        <v>1932</v>
      </c>
      <c r="K92" s="1" t="str">
        <f>VLOOKUP(uslugi413[[#This Row],[ozn]],$A$2:$D$410,2,FALSE)</f>
        <v>pilski</v>
      </c>
      <c r="L92" s="1">
        <f>IF(VLOOKUP(uslugi413[[#This Row],[ozn]],$A$2:$D$410,4,FALSE)="z",1,0)</f>
        <v>1</v>
      </c>
    </row>
    <row r="93" spans="1:12" x14ac:dyDescent="0.25">
      <c r="A93" s="2" t="s">
        <v>250</v>
      </c>
      <c r="B93" s="3" t="s">
        <v>251</v>
      </c>
      <c r="C93" s="3" t="s">
        <v>252</v>
      </c>
      <c r="D93" s="4" t="s">
        <v>7</v>
      </c>
      <c r="F93">
        <v>4241680809</v>
      </c>
      <c r="G93" s="1" t="s">
        <v>636</v>
      </c>
      <c r="H93" s="1" t="s">
        <v>1173</v>
      </c>
      <c r="I93" s="1" t="s">
        <v>1081</v>
      </c>
      <c r="J93">
        <v>2720</v>
      </c>
      <c r="K93" s="1" t="str">
        <f>VLOOKUP(uslugi413[[#This Row],[ozn]],$A$2:$D$410,2,FALSE)</f>
        <v>Poznan</v>
      </c>
      <c r="L93" s="1">
        <f>IF(VLOOKUP(uslugi413[[#This Row],[ozn]],$A$2:$D$410,4,FALSE)="z",1,0)</f>
        <v>0</v>
      </c>
    </row>
    <row r="94" spans="1:12" x14ac:dyDescent="0.25">
      <c r="A94" s="5" t="s">
        <v>253</v>
      </c>
      <c r="B94" s="6" t="s">
        <v>254</v>
      </c>
      <c r="C94" s="6" t="s">
        <v>254</v>
      </c>
      <c r="D94" s="7" t="s">
        <v>22</v>
      </c>
      <c r="F94">
        <v>4458233905</v>
      </c>
      <c r="G94" s="1" t="s">
        <v>1003</v>
      </c>
      <c r="H94" s="1" t="s">
        <v>1174</v>
      </c>
      <c r="I94" s="1" t="s">
        <v>1081</v>
      </c>
      <c r="J94">
        <v>2478</v>
      </c>
      <c r="K94" s="1" t="str">
        <f>VLOOKUP(uslugi413[[#This Row],[ozn]],$A$2:$D$410,2,FALSE)</f>
        <v>Wroclaw</v>
      </c>
      <c r="L94" s="1">
        <f>IF(VLOOKUP(uslugi413[[#This Row],[ozn]],$A$2:$D$410,4,FALSE)="z",1,0)</f>
        <v>0</v>
      </c>
    </row>
    <row r="95" spans="1:12" x14ac:dyDescent="0.25">
      <c r="A95" s="2" t="s">
        <v>255</v>
      </c>
      <c r="B95" s="3" t="s">
        <v>256</v>
      </c>
      <c r="C95" s="3" t="s">
        <v>254</v>
      </c>
      <c r="D95" s="4" t="s">
        <v>7</v>
      </c>
      <c r="F95">
        <v>1433397952</v>
      </c>
      <c r="G95" s="1" t="s">
        <v>314</v>
      </c>
      <c r="H95" s="1" t="s">
        <v>1175</v>
      </c>
      <c r="I95" s="1" t="s">
        <v>1087</v>
      </c>
      <c r="J95">
        <v>2434</v>
      </c>
      <c r="K95" s="1" t="str">
        <f>VLOOKUP(uslugi413[[#This Row],[ozn]],$A$2:$D$410,2,FALSE)</f>
        <v>Konin</v>
      </c>
      <c r="L95" s="1">
        <f>IF(VLOOKUP(uslugi413[[#This Row],[ozn]],$A$2:$D$410,4,FALSE)="z",1,0)</f>
        <v>0</v>
      </c>
    </row>
    <row r="96" spans="1:12" x14ac:dyDescent="0.25">
      <c r="A96" s="5" t="s">
        <v>257</v>
      </c>
      <c r="B96" s="6" t="s">
        <v>258</v>
      </c>
      <c r="C96" s="6" t="s">
        <v>259</v>
      </c>
      <c r="D96" s="7" t="s">
        <v>7</v>
      </c>
      <c r="F96">
        <v>4779174699</v>
      </c>
      <c r="G96" s="1" t="s">
        <v>1003</v>
      </c>
      <c r="H96" s="1" t="s">
        <v>1176</v>
      </c>
      <c r="I96" s="1" t="s">
        <v>1081</v>
      </c>
      <c r="J96">
        <v>2992</v>
      </c>
      <c r="K96" s="1" t="str">
        <f>VLOOKUP(uslugi413[[#This Row],[ozn]],$A$2:$D$410,2,FALSE)</f>
        <v>Wroclaw</v>
      </c>
      <c r="L96" s="1">
        <f>IF(VLOOKUP(uslugi413[[#This Row],[ozn]],$A$2:$D$410,4,FALSE)="z",1,0)</f>
        <v>0</v>
      </c>
    </row>
    <row r="97" spans="1:12" x14ac:dyDescent="0.25">
      <c r="A97" s="2" t="s">
        <v>260</v>
      </c>
      <c r="B97" s="3" t="s">
        <v>259</v>
      </c>
      <c r="C97" s="3" t="s">
        <v>259</v>
      </c>
      <c r="D97" s="4" t="s">
        <v>22</v>
      </c>
      <c r="F97">
        <v>5459753232</v>
      </c>
      <c r="G97" s="1" t="s">
        <v>737</v>
      </c>
      <c r="H97" s="1" t="s">
        <v>1177</v>
      </c>
      <c r="I97" s="1" t="s">
        <v>1087</v>
      </c>
      <c r="J97">
        <v>1860</v>
      </c>
      <c r="K97" s="1" t="str">
        <f>VLOOKUP(uslugi413[[#This Row],[ozn]],$A$2:$D$410,2,FALSE)</f>
        <v>siemiatycki</v>
      </c>
      <c r="L97" s="1">
        <f>IF(VLOOKUP(uslugi413[[#This Row],[ozn]],$A$2:$D$410,4,FALSE)="z",1,0)</f>
        <v>1</v>
      </c>
    </row>
    <row r="98" spans="1:12" x14ac:dyDescent="0.25">
      <c r="A98" s="5" t="s">
        <v>261</v>
      </c>
      <c r="B98" s="6" t="s">
        <v>262</v>
      </c>
      <c r="C98" s="6" t="s">
        <v>263</v>
      </c>
      <c r="D98" s="7" t="s">
        <v>7</v>
      </c>
      <c r="F98">
        <v>3318203338</v>
      </c>
      <c r="G98" s="1" t="s">
        <v>636</v>
      </c>
      <c r="H98" s="1" t="s">
        <v>1178</v>
      </c>
      <c r="I98" s="1" t="s">
        <v>1081</v>
      </c>
      <c r="J98">
        <v>2427</v>
      </c>
      <c r="K98" s="1" t="str">
        <f>VLOOKUP(uslugi413[[#This Row],[ozn]],$A$2:$D$410,2,FALSE)</f>
        <v>Poznan</v>
      </c>
      <c r="L98" s="1">
        <f>IF(VLOOKUP(uslugi413[[#This Row],[ozn]],$A$2:$D$410,4,FALSE)="z",1,0)</f>
        <v>0</v>
      </c>
    </row>
    <row r="99" spans="1:12" x14ac:dyDescent="0.25">
      <c r="A99" s="2" t="s">
        <v>264</v>
      </c>
      <c r="B99" s="3" t="s">
        <v>265</v>
      </c>
      <c r="C99" s="3" t="s">
        <v>266</v>
      </c>
      <c r="D99" s="4" t="s">
        <v>7</v>
      </c>
      <c r="F99">
        <v>5514533376</v>
      </c>
      <c r="G99" s="1" t="s">
        <v>40</v>
      </c>
      <c r="H99" s="1" t="s">
        <v>1179</v>
      </c>
      <c r="I99" s="1" t="s">
        <v>1087</v>
      </c>
      <c r="J99">
        <v>2926</v>
      </c>
      <c r="K99" s="1" t="str">
        <f>VLOOKUP(uslugi413[[#This Row],[ozn]],$A$2:$D$410,2,FALSE)</f>
        <v>Bielsko-Biala</v>
      </c>
      <c r="L99" s="1">
        <f>IF(VLOOKUP(uslugi413[[#This Row],[ozn]],$A$2:$D$410,4,FALSE)="z",1,0)</f>
        <v>0</v>
      </c>
    </row>
    <row r="100" spans="1:12" x14ac:dyDescent="0.25">
      <c r="A100" s="5" t="s">
        <v>267</v>
      </c>
      <c r="B100" s="6" t="s">
        <v>268</v>
      </c>
      <c r="C100" s="6" t="s">
        <v>269</v>
      </c>
      <c r="D100" s="7" t="s">
        <v>7</v>
      </c>
      <c r="F100">
        <v>5418968184</v>
      </c>
      <c r="G100" s="1" t="s">
        <v>636</v>
      </c>
      <c r="H100" s="1" t="s">
        <v>1180</v>
      </c>
      <c r="I100" s="1" t="s">
        <v>1087</v>
      </c>
      <c r="J100">
        <v>1902</v>
      </c>
      <c r="K100" s="1" t="str">
        <f>VLOOKUP(uslugi413[[#This Row],[ozn]],$A$2:$D$410,2,FALSE)</f>
        <v>Poznan</v>
      </c>
      <c r="L100" s="1">
        <f>IF(VLOOKUP(uslugi413[[#This Row],[ozn]],$A$2:$D$410,4,FALSE)="z",1,0)</f>
        <v>0</v>
      </c>
    </row>
    <row r="101" spans="1:12" x14ac:dyDescent="0.25">
      <c r="A101" s="2" t="s">
        <v>270</v>
      </c>
      <c r="B101" s="3" t="s">
        <v>271</v>
      </c>
      <c r="C101" s="3" t="s">
        <v>271</v>
      </c>
      <c r="D101" s="4" t="s">
        <v>22</v>
      </c>
      <c r="F101">
        <v>4956781088</v>
      </c>
      <c r="G101" s="1" t="s">
        <v>184</v>
      </c>
      <c r="H101" s="1" t="s">
        <v>1181</v>
      </c>
      <c r="I101" s="1" t="s">
        <v>1081</v>
      </c>
      <c r="J101">
        <v>1929</v>
      </c>
      <c r="K101" s="1" t="str">
        <f>VLOOKUP(uslugi413[[#This Row],[ozn]],$A$2:$D$410,2,FALSE)</f>
        <v>gorowski</v>
      </c>
      <c r="L101" s="1">
        <f>IF(VLOOKUP(uslugi413[[#This Row],[ozn]],$A$2:$D$410,4,FALSE)="z",1,0)</f>
        <v>1</v>
      </c>
    </row>
    <row r="102" spans="1:12" x14ac:dyDescent="0.25">
      <c r="A102" s="5" t="s">
        <v>272</v>
      </c>
      <c r="B102" s="6" t="s">
        <v>273</v>
      </c>
      <c r="C102" s="6" t="s">
        <v>274</v>
      </c>
      <c r="D102" s="7" t="s">
        <v>7</v>
      </c>
      <c r="F102">
        <v>4241680809</v>
      </c>
      <c r="G102" s="1" t="s">
        <v>636</v>
      </c>
      <c r="H102" s="1" t="s">
        <v>1182</v>
      </c>
      <c r="I102" s="1" t="s">
        <v>1081</v>
      </c>
      <c r="J102">
        <v>3056</v>
      </c>
      <c r="K102" s="1" t="str">
        <f>VLOOKUP(uslugi413[[#This Row],[ozn]],$A$2:$D$410,2,FALSE)</f>
        <v>Poznan</v>
      </c>
      <c r="L102" s="1">
        <f>IF(VLOOKUP(uslugi413[[#This Row],[ozn]],$A$2:$D$410,4,FALSE)="z",1,0)</f>
        <v>0</v>
      </c>
    </row>
    <row r="103" spans="1:12" x14ac:dyDescent="0.25">
      <c r="A103" s="2" t="s">
        <v>275</v>
      </c>
      <c r="B103" s="3" t="s">
        <v>276</v>
      </c>
      <c r="C103" s="3" t="s">
        <v>277</v>
      </c>
      <c r="D103" s="4" t="s">
        <v>7</v>
      </c>
      <c r="F103">
        <v>2599394621</v>
      </c>
      <c r="G103" s="1" t="s">
        <v>636</v>
      </c>
      <c r="H103" s="1" t="s">
        <v>1183</v>
      </c>
      <c r="I103" s="1" t="s">
        <v>1087</v>
      </c>
      <c r="J103">
        <v>2818</v>
      </c>
      <c r="K103" s="1" t="str">
        <f>VLOOKUP(uslugi413[[#This Row],[ozn]],$A$2:$D$410,2,FALSE)</f>
        <v>Poznan</v>
      </c>
      <c r="L103" s="1">
        <f>IF(VLOOKUP(uslugi413[[#This Row],[ozn]],$A$2:$D$410,4,FALSE)="z",1,0)</f>
        <v>0</v>
      </c>
    </row>
    <row r="104" spans="1:12" x14ac:dyDescent="0.25">
      <c r="A104" s="5" t="s">
        <v>278</v>
      </c>
      <c r="B104" s="6" t="s">
        <v>279</v>
      </c>
      <c r="C104" s="6" t="s">
        <v>280</v>
      </c>
      <c r="D104" s="7" t="s">
        <v>7</v>
      </c>
      <c r="F104">
        <v>5115061689</v>
      </c>
      <c r="G104" s="1" t="s">
        <v>702</v>
      </c>
      <c r="H104" s="1" t="s">
        <v>1184</v>
      </c>
      <c r="I104" s="1" t="s">
        <v>1081</v>
      </c>
      <c r="J104">
        <v>3144</v>
      </c>
      <c r="K104" s="1" t="str">
        <f>VLOOKUP(uslugi413[[#This Row],[ozn]],$A$2:$D$410,2,FALSE)</f>
        <v>Ruda Slaska</v>
      </c>
      <c r="L104" s="1">
        <f>IF(VLOOKUP(uslugi413[[#This Row],[ozn]],$A$2:$D$410,4,FALSE)="z",1,0)</f>
        <v>0</v>
      </c>
    </row>
    <row r="105" spans="1:12" x14ac:dyDescent="0.25">
      <c r="A105" s="2" t="s">
        <v>281</v>
      </c>
      <c r="B105" s="3" t="s">
        <v>282</v>
      </c>
      <c r="C105" s="3" t="s">
        <v>283</v>
      </c>
      <c r="D105" s="4" t="s">
        <v>7</v>
      </c>
      <c r="F105">
        <v>3568004264</v>
      </c>
      <c r="G105" s="1" t="s">
        <v>428</v>
      </c>
      <c r="H105" s="1" t="s">
        <v>1185</v>
      </c>
      <c r="I105" s="1" t="s">
        <v>1087</v>
      </c>
      <c r="J105">
        <v>3060</v>
      </c>
      <c r="K105" s="1" t="str">
        <f>VLOOKUP(uslugi413[[#This Row],[ozn]],$A$2:$D$410,2,FALSE)</f>
        <v>lubelski</v>
      </c>
      <c r="L105" s="1">
        <f>IF(VLOOKUP(uslugi413[[#This Row],[ozn]],$A$2:$D$410,4,FALSE)="z",1,0)</f>
        <v>1</v>
      </c>
    </row>
    <row r="106" spans="1:12" x14ac:dyDescent="0.25">
      <c r="A106" s="5" t="s">
        <v>284</v>
      </c>
      <c r="B106" s="6" t="s">
        <v>285</v>
      </c>
      <c r="C106" s="6" t="s">
        <v>285</v>
      </c>
      <c r="D106" s="7" t="s">
        <v>22</v>
      </c>
      <c r="F106">
        <v>3470453173</v>
      </c>
      <c r="G106" s="1" t="s">
        <v>85</v>
      </c>
      <c r="H106" s="1" t="s">
        <v>1186</v>
      </c>
      <c r="I106" s="1" t="s">
        <v>1081</v>
      </c>
      <c r="J106">
        <v>1866</v>
      </c>
      <c r="K106" s="1" t="str">
        <f>VLOOKUP(uslugi413[[#This Row],[ozn]],$A$2:$D$410,2,FALSE)</f>
        <v>Chelm</v>
      </c>
      <c r="L106" s="1">
        <f>IF(VLOOKUP(uslugi413[[#This Row],[ozn]],$A$2:$D$410,4,FALSE)="z",1,0)</f>
        <v>0</v>
      </c>
    </row>
    <row r="107" spans="1:12" x14ac:dyDescent="0.25">
      <c r="A107" s="2" t="s">
        <v>286</v>
      </c>
      <c r="B107" s="3" t="s">
        <v>287</v>
      </c>
      <c r="C107" s="3" t="s">
        <v>285</v>
      </c>
      <c r="D107" s="4" t="s">
        <v>7</v>
      </c>
      <c r="F107">
        <v>2119268767</v>
      </c>
      <c r="G107" s="1" t="s">
        <v>141</v>
      </c>
      <c r="H107" s="1" t="s">
        <v>1187</v>
      </c>
      <c r="I107" s="1" t="s">
        <v>1087</v>
      </c>
      <c r="J107">
        <v>2928</v>
      </c>
      <c r="K107" s="1" t="str">
        <f>VLOOKUP(uslugi413[[#This Row],[ozn]],$A$2:$D$410,2,FALSE)</f>
        <v>elblaski</v>
      </c>
      <c r="L107" s="1">
        <f>IF(VLOOKUP(uslugi413[[#This Row],[ozn]],$A$2:$D$410,4,FALSE)="z",1,0)</f>
        <v>1</v>
      </c>
    </row>
    <row r="108" spans="1:12" x14ac:dyDescent="0.25">
      <c r="A108" s="5" t="s">
        <v>288</v>
      </c>
      <c r="B108" s="6" t="s">
        <v>289</v>
      </c>
      <c r="C108" s="6" t="s">
        <v>290</v>
      </c>
      <c r="D108" s="7" t="s">
        <v>7</v>
      </c>
      <c r="F108">
        <v>1246489959</v>
      </c>
      <c r="G108" s="1" t="s">
        <v>636</v>
      </c>
      <c r="H108" s="1" t="s">
        <v>1188</v>
      </c>
      <c r="I108" s="1" t="s">
        <v>1087</v>
      </c>
      <c r="J108">
        <v>2590</v>
      </c>
      <c r="K108" s="1" t="str">
        <f>VLOOKUP(uslugi413[[#This Row],[ozn]],$A$2:$D$410,2,FALSE)</f>
        <v>Poznan</v>
      </c>
      <c r="L108" s="1">
        <f>IF(VLOOKUP(uslugi413[[#This Row],[ozn]],$A$2:$D$410,4,FALSE)="z",1,0)</f>
        <v>0</v>
      </c>
    </row>
    <row r="109" spans="1:12" x14ac:dyDescent="0.25">
      <c r="A109" s="2" t="s">
        <v>291</v>
      </c>
      <c r="B109" s="3" t="s">
        <v>292</v>
      </c>
      <c r="C109" s="3" t="s">
        <v>293</v>
      </c>
      <c r="D109" s="4" t="s">
        <v>7</v>
      </c>
      <c r="F109">
        <v>4779174699</v>
      </c>
      <c r="G109" s="1" t="s">
        <v>1003</v>
      </c>
      <c r="H109" s="1" t="s">
        <v>1189</v>
      </c>
      <c r="I109" s="1" t="s">
        <v>1081</v>
      </c>
      <c r="J109">
        <v>2445</v>
      </c>
      <c r="K109" s="1" t="str">
        <f>VLOOKUP(uslugi413[[#This Row],[ozn]],$A$2:$D$410,2,FALSE)</f>
        <v>Wroclaw</v>
      </c>
      <c r="L109" s="1">
        <f>IF(VLOOKUP(uslugi413[[#This Row],[ozn]],$A$2:$D$410,4,FALSE)="z",1,0)</f>
        <v>0</v>
      </c>
    </row>
    <row r="110" spans="1:12" x14ac:dyDescent="0.25">
      <c r="A110" s="5" t="s">
        <v>294</v>
      </c>
      <c r="B110" s="6" t="s">
        <v>295</v>
      </c>
      <c r="C110" s="6" t="s">
        <v>296</v>
      </c>
      <c r="D110" s="7" t="s">
        <v>7</v>
      </c>
      <c r="F110">
        <v>4715154852</v>
      </c>
      <c r="G110" s="1" t="s">
        <v>1003</v>
      </c>
      <c r="H110" s="1" t="s">
        <v>1190</v>
      </c>
      <c r="I110" s="1" t="s">
        <v>1081</v>
      </c>
      <c r="J110">
        <v>2780</v>
      </c>
      <c r="K110" s="1" t="str">
        <f>VLOOKUP(uslugi413[[#This Row],[ozn]],$A$2:$D$410,2,FALSE)</f>
        <v>Wroclaw</v>
      </c>
      <c r="L110" s="1">
        <f>IF(VLOOKUP(uslugi413[[#This Row],[ozn]],$A$2:$D$410,4,FALSE)="z",1,0)</f>
        <v>0</v>
      </c>
    </row>
    <row r="111" spans="1:12" x14ac:dyDescent="0.25">
      <c r="A111" s="2" t="s">
        <v>297</v>
      </c>
      <c r="B111" s="3" t="s">
        <v>298</v>
      </c>
      <c r="C111" s="3" t="s">
        <v>299</v>
      </c>
      <c r="D111" s="4" t="s">
        <v>7</v>
      </c>
      <c r="F111">
        <v>3568004264</v>
      </c>
      <c r="G111" s="1" t="s">
        <v>428</v>
      </c>
      <c r="H111" s="1" t="s">
        <v>1191</v>
      </c>
      <c r="I111" s="1" t="s">
        <v>1081</v>
      </c>
      <c r="J111">
        <v>2720</v>
      </c>
      <c r="K111" s="1" t="str">
        <f>VLOOKUP(uslugi413[[#This Row],[ozn]],$A$2:$D$410,2,FALSE)</f>
        <v>lubelski</v>
      </c>
      <c r="L111" s="1">
        <f>IF(VLOOKUP(uslugi413[[#This Row],[ozn]],$A$2:$D$410,4,FALSE)="z",1,0)</f>
        <v>1</v>
      </c>
    </row>
    <row r="112" spans="1:12" x14ac:dyDescent="0.25">
      <c r="A112" s="5" t="s">
        <v>300</v>
      </c>
      <c r="B112" s="6" t="s">
        <v>301</v>
      </c>
      <c r="C112" s="6" t="s">
        <v>302</v>
      </c>
      <c r="D112" s="7" t="s">
        <v>7</v>
      </c>
      <c r="F112">
        <v>5514533376</v>
      </c>
      <c r="G112" s="1" t="s">
        <v>40</v>
      </c>
      <c r="H112" s="1" t="s">
        <v>1192</v>
      </c>
      <c r="I112" s="1" t="s">
        <v>1087</v>
      </c>
      <c r="J112">
        <v>2136</v>
      </c>
      <c r="K112" s="1" t="str">
        <f>VLOOKUP(uslugi413[[#This Row],[ozn]],$A$2:$D$410,2,FALSE)</f>
        <v>Bielsko-Biala</v>
      </c>
      <c r="L112" s="1">
        <f>IF(VLOOKUP(uslugi413[[#This Row],[ozn]],$A$2:$D$410,4,FALSE)="z",1,0)</f>
        <v>0</v>
      </c>
    </row>
    <row r="113" spans="1:12" x14ac:dyDescent="0.25">
      <c r="A113" s="2" t="s">
        <v>303</v>
      </c>
      <c r="B113" s="3" t="s">
        <v>304</v>
      </c>
      <c r="C113" s="3" t="s">
        <v>305</v>
      </c>
      <c r="D113" s="4" t="s">
        <v>7</v>
      </c>
      <c r="F113">
        <v>5528435390</v>
      </c>
      <c r="G113" s="1" t="s">
        <v>636</v>
      </c>
      <c r="H113" s="1" t="s">
        <v>1193</v>
      </c>
      <c r="I113" s="1" t="s">
        <v>1081</v>
      </c>
      <c r="J113">
        <v>2328</v>
      </c>
      <c r="K113" s="1" t="str">
        <f>VLOOKUP(uslugi413[[#This Row],[ozn]],$A$2:$D$410,2,FALSE)</f>
        <v>Poznan</v>
      </c>
      <c r="L113" s="1">
        <f>IF(VLOOKUP(uslugi413[[#This Row],[ozn]],$A$2:$D$410,4,FALSE)="z",1,0)</f>
        <v>0</v>
      </c>
    </row>
    <row r="114" spans="1:12" x14ac:dyDescent="0.25">
      <c r="A114" s="5" t="s">
        <v>306</v>
      </c>
      <c r="B114" s="6" t="s">
        <v>307</v>
      </c>
      <c r="C114" s="6" t="s">
        <v>308</v>
      </c>
      <c r="D114" s="7" t="s">
        <v>7</v>
      </c>
      <c r="F114">
        <v>4779174699</v>
      </c>
      <c r="G114" s="1" t="s">
        <v>1003</v>
      </c>
      <c r="H114" s="1" t="s">
        <v>1194</v>
      </c>
      <c r="I114" s="1" t="s">
        <v>1081</v>
      </c>
      <c r="J114">
        <v>2920</v>
      </c>
      <c r="K114" s="1" t="str">
        <f>VLOOKUP(uslugi413[[#This Row],[ozn]],$A$2:$D$410,2,FALSE)</f>
        <v>Wroclaw</v>
      </c>
      <c r="L114" s="1">
        <f>IF(VLOOKUP(uslugi413[[#This Row],[ozn]],$A$2:$D$410,4,FALSE)="z",1,0)</f>
        <v>0</v>
      </c>
    </row>
    <row r="115" spans="1:12" x14ac:dyDescent="0.25">
      <c r="A115" s="2" t="s">
        <v>309</v>
      </c>
      <c r="B115" s="3" t="s">
        <v>310</v>
      </c>
      <c r="C115" s="3" t="s">
        <v>311</v>
      </c>
      <c r="D115" s="4" t="s">
        <v>7</v>
      </c>
      <c r="F115">
        <v>4326751508</v>
      </c>
      <c r="G115" s="1" t="s">
        <v>405</v>
      </c>
      <c r="H115" s="1" t="s">
        <v>1195</v>
      </c>
      <c r="I115" s="1" t="s">
        <v>1087</v>
      </c>
      <c r="J115">
        <v>3324</v>
      </c>
      <c r="K115" s="1" t="str">
        <f>VLOOKUP(uslugi413[[#This Row],[ozn]],$A$2:$D$410,2,FALSE)</f>
        <v>Lodz</v>
      </c>
      <c r="L115" s="1">
        <f>IF(VLOOKUP(uslugi413[[#This Row],[ozn]],$A$2:$D$410,4,FALSE)="z",1,0)</f>
        <v>0</v>
      </c>
    </row>
    <row r="116" spans="1:12" x14ac:dyDescent="0.25">
      <c r="A116" s="5" t="s">
        <v>312</v>
      </c>
      <c r="B116" s="6" t="s">
        <v>313</v>
      </c>
      <c r="C116" s="6" t="s">
        <v>313</v>
      </c>
      <c r="D116" s="7" t="s">
        <v>22</v>
      </c>
      <c r="F116">
        <v>1620242236</v>
      </c>
      <c r="G116" s="1" t="s">
        <v>314</v>
      </c>
      <c r="H116" s="1" t="s">
        <v>1196</v>
      </c>
      <c r="I116" s="1" t="s">
        <v>1081</v>
      </c>
      <c r="J116">
        <v>2915</v>
      </c>
      <c r="K116" s="1" t="str">
        <f>VLOOKUP(uslugi413[[#This Row],[ozn]],$A$2:$D$410,2,FALSE)</f>
        <v>Konin</v>
      </c>
      <c r="L116" s="1">
        <f>IF(VLOOKUP(uslugi413[[#This Row],[ozn]],$A$2:$D$410,4,FALSE)="z",1,0)</f>
        <v>0</v>
      </c>
    </row>
    <row r="117" spans="1:12" x14ac:dyDescent="0.25">
      <c r="A117" s="2" t="s">
        <v>314</v>
      </c>
      <c r="B117" s="3" t="s">
        <v>313</v>
      </c>
      <c r="C117" s="3" t="s">
        <v>313</v>
      </c>
      <c r="D117" s="4" t="s">
        <v>22</v>
      </c>
      <c r="F117">
        <v>6758177505</v>
      </c>
      <c r="G117" s="1" t="s">
        <v>862</v>
      </c>
      <c r="H117" s="1" t="s">
        <v>1197</v>
      </c>
      <c r="I117" s="1" t="s">
        <v>1087</v>
      </c>
      <c r="J117">
        <v>1930</v>
      </c>
      <c r="K117" s="1" t="str">
        <f>VLOOKUP(uslugi413[[#This Row],[ozn]],$A$2:$D$410,2,FALSE)</f>
        <v>tarnobrzeski</v>
      </c>
      <c r="L117" s="1">
        <f>IF(VLOOKUP(uslugi413[[#This Row],[ozn]],$A$2:$D$410,4,FALSE)="z",1,0)</f>
        <v>1</v>
      </c>
    </row>
    <row r="118" spans="1:12" x14ac:dyDescent="0.25">
      <c r="A118" s="5" t="s">
        <v>315</v>
      </c>
      <c r="B118" s="6" t="s">
        <v>316</v>
      </c>
      <c r="C118" s="6" t="s">
        <v>313</v>
      </c>
      <c r="D118" s="7" t="s">
        <v>7</v>
      </c>
      <c r="F118">
        <v>6727559092</v>
      </c>
      <c r="G118" s="1" t="s">
        <v>862</v>
      </c>
      <c r="H118" s="1" t="s">
        <v>1198</v>
      </c>
      <c r="I118" s="1" t="s">
        <v>1087</v>
      </c>
      <c r="J118">
        <v>2361</v>
      </c>
      <c r="K118" s="1" t="str">
        <f>VLOOKUP(uslugi413[[#This Row],[ozn]],$A$2:$D$410,2,FALSE)</f>
        <v>tarnobrzeski</v>
      </c>
      <c r="L118" s="1">
        <f>IF(VLOOKUP(uslugi413[[#This Row],[ozn]],$A$2:$D$410,4,FALSE)="z",1,0)</f>
        <v>1</v>
      </c>
    </row>
    <row r="119" spans="1:12" x14ac:dyDescent="0.25">
      <c r="A119" s="2" t="s">
        <v>317</v>
      </c>
      <c r="B119" s="3" t="s">
        <v>318</v>
      </c>
      <c r="C119" s="3" t="s">
        <v>319</v>
      </c>
      <c r="D119" s="4" t="s">
        <v>7</v>
      </c>
      <c r="F119">
        <v>4241680809</v>
      </c>
      <c r="G119" s="1" t="s">
        <v>636</v>
      </c>
      <c r="H119" s="1" t="s">
        <v>1199</v>
      </c>
      <c r="I119" s="1" t="s">
        <v>1087</v>
      </c>
      <c r="J119">
        <v>1863</v>
      </c>
      <c r="K119" s="1" t="str">
        <f>VLOOKUP(uslugi413[[#This Row],[ozn]],$A$2:$D$410,2,FALSE)</f>
        <v>Poznan</v>
      </c>
      <c r="L119" s="1">
        <f>IF(VLOOKUP(uslugi413[[#This Row],[ozn]],$A$2:$D$410,4,FALSE)="z",1,0)</f>
        <v>0</v>
      </c>
    </row>
    <row r="120" spans="1:12" x14ac:dyDescent="0.25">
      <c r="A120" s="5" t="s">
        <v>320</v>
      </c>
      <c r="B120" s="6" t="s">
        <v>321</v>
      </c>
      <c r="C120" s="6" t="s">
        <v>322</v>
      </c>
      <c r="D120" s="7" t="s">
        <v>7</v>
      </c>
      <c r="F120">
        <v>4326751508</v>
      </c>
      <c r="G120" s="1" t="s">
        <v>40</v>
      </c>
      <c r="H120" s="1" t="s">
        <v>1200</v>
      </c>
      <c r="I120" s="1" t="s">
        <v>1081</v>
      </c>
      <c r="J120">
        <v>2420</v>
      </c>
      <c r="K120" s="1" t="str">
        <f>VLOOKUP(uslugi413[[#This Row],[ozn]],$A$2:$D$410,2,FALSE)</f>
        <v>Bielsko-Biala</v>
      </c>
      <c r="L120" s="1">
        <f>IF(VLOOKUP(uslugi413[[#This Row],[ozn]],$A$2:$D$410,4,FALSE)="z",1,0)</f>
        <v>0</v>
      </c>
    </row>
    <row r="121" spans="1:12" x14ac:dyDescent="0.25">
      <c r="A121" s="2" t="s">
        <v>323</v>
      </c>
      <c r="B121" s="3" t="s">
        <v>324</v>
      </c>
      <c r="C121" s="3" t="s">
        <v>324</v>
      </c>
      <c r="D121" s="4" t="s">
        <v>22</v>
      </c>
      <c r="F121">
        <v>3470453173</v>
      </c>
      <c r="G121" s="1" t="s">
        <v>85</v>
      </c>
      <c r="H121" s="1" t="s">
        <v>1201</v>
      </c>
      <c r="I121" s="1" t="s">
        <v>1087</v>
      </c>
      <c r="J121">
        <v>2625</v>
      </c>
      <c r="K121" s="1" t="str">
        <f>VLOOKUP(uslugi413[[#This Row],[ozn]],$A$2:$D$410,2,FALSE)</f>
        <v>Chelm</v>
      </c>
      <c r="L121" s="1">
        <f>IF(VLOOKUP(uslugi413[[#This Row],[ozn]],$A$2:$D$410,4,FALSE)="z",1,0)</f>
        <v>0</v>
      </c>
    </row>
    <row r="122" spans="1:12" x14ac:dyDescent="0.25">
      <c r="A122" s="5" t="s">
        <v>325</v>
      </c>
      <c r="B122" s="6" t="s">
        <v>326</v>
      </c>
      <c r="C122" s="6" t="s">
        <v>324</v>
      </c>
      <c r="D122" s="7" t="s">
        <v>7</v>
      </c>
      <c r="F122">
        <v>3579231044</v>
      </c>
      <c r="G122" s="1" t="s">
        <v>370</v>
      </c>
      <c r="H122" s="1" t="s">
        <v>1202</v>
      </c>
      <c r="I122" s="1" t="s">
        <v>1087</v>
      </c>
      <c r="J122">
        <v>2314</v>
      </c>
      <c r="K122" s="1" t="str">
        <f>VLOOKUP(uslugi413[[#This Row],[ozn]],$A$2:$D$410,2,FALSE)</f>
        <v>leczynski</v>
      </c>
      <c r="L122" s="1">
        <f>IF(VLOOKUP(uslugi413[[#This Row],[ozn]],$A$2:$D$410,4,FALSE)="z",1,0)</f>
        <v>1</v>
      </c>
    </row>
    <row r="123" spans="1:12" x14ac:dyDescent="0.25">
      <c r="A123" s="2" t="s">
        <v>327</v>
      </c>
      <c r="B123" s="3" t="s">
        <v>328</v>
      </c>
      <c r="C123" s="3" t="s">
        <v>329</v>
      </c>
      <c r="D123" s="4" t="s">
        <v>7</v>
      </c>
      <c r="F123">
        <v>2119268767</v>
      </c>
      <c r="G123" s="1" t="s">
        <v>141</v>
      </c>
      <c r="H123" s="1" t="s">
        <v>1203</v>
      </c>
      <c r="I123" s="1" t="s">
        <v>1087</v>
      </c>
      <c r="J123">
        <v>2340</v>
      </c>
      <c r="K123" s="1" t="str">
        <f>VLOOKUP(uslugi413[[#This Row],[ozn]],$A$2:$D$410,2,FALSE)</f>
        <v>elblaski</v>
      </c>
      <c r="L123" s="1">
        <f>IF(VLOOKUP(uslugi413[[#This Row],[ozn]],$A$2:$D$410,4,FALSE)="z",1,0)</f>
        <v>1</v>
      </c>
    </row>
    <row r="124" spans="1:12" x14ac:dyDescent="0.25">
      <c r="A124" s="5" t="s">
        <v>330</v>
      </c>
      <c r="B124" s="6" t="s">
        <v>331</v>
      </c>
      <c r="C124" s="6" t="s">
        <v>331</v>
      </c>
      <c r="D124" s="7" t="s">
        <v>22</v>
      </c>
      <c r="F124">
        <v>1620242236</v>
      </c>
      <c r="G124" s="1" t="s">
        <v>314</v>
      </c>
      <c r="H124" s="1" t="s">
        <v>1204</v>
      </c>
      <c r="I124" s="1" t="s">
        <v>1081</v>
      </c>
      <c r="J124">
        <v>2181</v>
      </c>
      <c r="K124" s="1" t="str">
        <f>VLOOKUP(uslugi413[[#This Row],[ozn]],$A$2:$D$410,2,FALSE)</f>
        <v>Konin</v>
      </c>
      <c r="L124" s="1">
        <f>IF(VLOOKUP(uslugi413[[#This Row],[ozn]],$A$2:$D$410,4,FALSE)="z",1,0)</f>
        <v>0</v>
      </c>
    </row>
    <row r="125" spans="1:12" x14ac:dyDescent="0.25">
      <c r="A125" s="2" t="s">
        <v>332</v>
      </c>
      <c r="B125" s="3" t="s">
        <v>333</v>
      </c>
      <c r="C125" s="3" t="s">
        <v>331</v>
      </c>
      <c r="D125" s="4" t="s">
        <v>7</v>
      </c>
      <c r="F125">
        <v>4326751508</v>
      </c>
      <c r="G125" s="1" t="s">
        <v>40</v>
      </c>
      <c r="H125" s="1" t="s">
        <v>1205</v>
      </c>
      <c r="I125" s="1" t="s">
        <v>1081</v>
      </c>
      <c r="J125">
        <v>2800</v>
      </c>
      <c r="K125" s="1" t="str">
        <f>VLOOKUP(uslugi413[[#This Row],[ozn]],$A$2:$D$410,2,FALSE)</f>
        <v>Bielsko-Biala</v>
      </c>
      <c r="L125" s="1">
        <f>IF(VLOOKUP(uslugi413[[#This Row],[ozn]],$A$2:$D$410,4,FALSE)="z",1,0)</f>
        <v>0</v>
      </c>
    </row>
    <row r="126" spans="1:12" x14ac:dyDescent="0.25">
      <c r="A126" s="5" t="s">
        <v>334</v>
      </c>
      <c r="B126" s="6" t="s">
        <v>335</v>
      </c>
      <c r="C126" s="6" t="s">
        <v>336</v>
      </c>
      <c r="D126" s="7" t="s">
        <v>7</v>
      </c>
      <c r="F126">
        <v>1278408463</v>
      </c>
      <c r="G126" s="1" t="s">
        <v>312</v>
      </c>
      <c r="H126" s="1" t="s">
        <v>1206</v>
      </c>
      <c r="I126" s="1" t="s">
        <v>1087</v>
      </c>
      <c r="J126">
        <v>2589</v>
      </c>
      <c r="K126" s="1" t="str">
        <f>VLOOKUP(uslugi413[[#This Row],[ozn]],$A$2:$D$410,2,FALSE)</f>
        <v>Konin</v>
      </c>
      <c r="L126" s="1">
        <f>IF(VLOOKUP(uslugi413[[#This Row],[ozn]],$A$2:$D$410,4,FALSE)="z",1,0)</f>
        <v>0</v>
      </c>
    </row>
    <row r="127" spans="1:12" x14ac:dyDescent="0.25">
      <c r="A127" s="2" t="s">
        <v>337</v>
      </c>
      <c r="B127" s="3" t="s">
        <v>338</v>
      </c>
      <c r="C127" s="3" t="s">
        <v>339</v>
      </c>
      <c r="D127" s="4" t="s">
        <v>7</v>
      </c>
      <c r="F127">
        <v>1939065269</v>
      </c>
      <c r="G127" s="1" t="s">
        <v>636</v>
      </c>
      <c r="H127" s="1" t="s">
        <v>1207</v>
      </c>
      <c r="I127" s="1" t="s">
        <v>1081</v>
      </c>
      <c r="J127">
        <v>2360</v>
      </c>
      <c r="K127" s="1" t="str">
        <f>VLOOKUP(uslugi413[[#This Row],[ozn]],$A$2:$D$410,2,FALSE)</f>
        <v>Poznan</v>
      </c>
      <c r="L127" s="1">
        <f>IF(VLOOKUP(uslugi413[[#This Row],[ozn]],$A$2:$D$410,4,FALSE)="z",1,0)</f>
        <v>0</v>
      </c>
    </row>
    <row r="128" spans="1:12" x14ac:dyDescent="0.25">
      <c r="A128" s="5" t="s">
        <v>340</v>
      </c>
      <c r="B128" s="6" t="s">
        <v>341</v>
      </c>
      <c r="C128" s="6" t="s">
        <v>342</v>
      </c>
      <c r="D128" s="7" t="s">
        <v>7</v>
      </c>
      <c r="F128">
        <v>3783578981</v>
      </c>
      <c r="G128" s="1" t="s">
        <v>405</v>
      </c>
      <c r="H128" s="1" t="s">
        <v>1208</v>
      </c>
      <c r="I128" s="1" t="s">
        <v>1087</v>
      </c>
      <c r="J128">
        <v>2185</v>
      </c>
      <c r="K128" s="1" t="str">
        <f>VLOOKUP(uslugi413[[#This Row],[ozn]],$A$2:$D$410,2,FALSE)</f>
        <v>Lodz</v>
      </c>
      <c r="L128" s="1">
        <f>IF(VLOOKUP(uslugi413[[#This Row],[ozn]],$A$2:$D$410,4,FALSE)="z",1,0)</f>
        <v>0</v>
      </c>
    </row>
    <row r="129" spans="1:12" x14ac:dyDescent="0.25">
      <c r="A129" s="2" t="s">
        <v>343</v>
      </c>
      <c r="B129" s="3" t="s">
        <v>344</v>
      </c>
      <c r="C129" s="3" t="s">
        <v>345</v>
      </c>
      <c r="D129" s="4" t="s">
        <v>7</v>
      </c>
      <c r="F129">
        <v>4241680809</v>
      </c>
      <c r="G129" s="1" t="s">
        <v>636</v>
      </c>
      <c r="H129" s="1" t="s">
        <v>1209</v>
      </c>
      <c r="I129" s="1" t="s">
        <v>1081</v>
      </c>
      <c r="J129">
        <v>2319</v>
      </c>
      <c r="K129" s="1" t="str">
        <f>VLOOKUP(uslugi413[[#This Row],[ozn]],$A$2:$D$410,2,FALSE)</f>
        <v>Poznan</v>
      </c>
      <c r="L129" s="1">
        <f>IF(VLOOKUP(uslugi413[[#This Row],[ozn]],$A$2:$D$410,4,FALSE)="z",1,0)</f>
        <v>0</v>
      </c>
    </row>
    <row r="130" spans="1:12" x14ac:dyDescent="0.25">
      <c r="A130" s="5" t="s">
        <v>346</v>
      </c>
      <c r="B130" s="6" t="s">
        <v>344</v>
      </c>
      <c r="C130" s="6" t="s">
        <v>347</v>
      </c>
      <c r="D130" s="7" t="s">
        <v>7</v>
      </c>
      <c r="F130">
        <v>4761158900</v>
      </c>
      <c r="G130" s="1" t="s">
        <v>294</v>
      </c>
      <c r="H130" s="1" t="s">
        <v>1210</v>
      </c>
      <c r="I130" s="1" t="s">
        <v>1081</v>
      </c>
      <c r="J130">
        <v>2208</v>
      </c>
      <c r="K130" s="1" t="str">
        <f>VLOOKUP(uslugi413[[#This Row],[ozn]],$A$2:$D$410,2,FALSE)</f>
        <v>kluczborski</v>
      </c>
      <c r="L130" s="1">
        <f>IF(VLOOKUP(uslugi413[[#This Row],[ozn]],$A$2:$D$410,4,FALSE)="z",1,0)</f>
        <v>1</v>
      </c>
    </row>
    <row r="131" spans="1:12" x14ac:dyDescent="0.25">
      <c r="A131" s="2" t="s">
        <v>348</v>
      </c>
      <c r="B131" s="3" t="s">
        <v>345</v>
      </c>
      <c r="C131" s="3" t="s">
        <v>345</v>
      </c>
      <c r="D131" s="4" t="s">
        <v>22</v>
      </c>
      <c r="F131">
        <v>3866883575</v>
      </c>
      <c r="G131" s="1" t="s">
        <v>434</v>
      </c>
      <c r="H131" s="1" t="s">
        <v>1211</v>
      </c>
      <c r="I131" s="1" t="s">
        <v>1087</v>
      </c>
      <c r="J131">
        <v>1520</v>
      </c>
      <c r="K131" s="1" t="str">
        <f>VLOOKUP(uslugi413[[#This Row],[ozn]],$A$2:$D$410,2,FALSE)</f>
        <v>Lublin</v>
      </c>
      <c r="L131" s="1">
        <f>IF(VLOOKUP(uslugi413[[#This Row],[ozn]],$A$2:$D$410,4,FALSE)="z",1,0)</f>
        <v>0</v>
      </c>
    </row>
    <row r="132" spans="1:12" x14ac:dyDescent="0.25">
      <c r="A132" s="5" t="s">
        <v>349</v>
      </c>
      <c r="B132" s="6" t="s">
        <v>350</v>
      </c>
      <c r="C132" s="6" t="s">
        <v>351</v>
      </c>
      <c r="D132" s="7" t="s">
        <v>7</v>
      </c>
      <c r="F132">
        <v>1127056356</v>
      </c>
      <c r="G132" s="1" t="s">
        <v>317</v>
      </c>
      <c r="H132" s="1" t="s">
        <v>1212</v>
      </c>
      <c r="I132" s="1" t="s">
        <v>1081</v>
      </c>
      <c r="J132">
        <v>2050</v>
      </c>
      <c r="K132" s="1" t="str">
        <f>VLOOKUP(uslugi413[[#This Row],[ozn]],$A$2:$D$410,2,FALSE)</f>
        <v>koscianski</v>
      </c>
      <c r="L132" s="1">
        <f>IF(VLOOKUP(uslugi413[[#This Row],[ozn]],$A$2:$D$410,4,FALSE)="z",1,0)</f>
        <v>1</v>
      </c>
    </row>
    <row r="133" spans="1:12" x14ac:dyDescent="0.25">
      <c r="A133" s="2" t="s">
        <v>352</v>
      </c>
      <c r="B133" s="3" t="s">
        <v>353</v>
      </c>
      <c r="C133" s="3" t="s">
        <v>354</v>
      </c>
      <c r="D133" s="4" t="s">
        <v>7</v>
      </c>
      <c r="F133">
        <v>1620242236</v>
      </c>
      <c r="G133" s="1" t="s">
        <v>314</v>
      </c>
      <c r="H133" s="1" t="s">
        <v>1213</v>
      </c>
      <c r="I133" s="1" t="s">
        <v>1087</v>
      </c>
      <c r="J133">
        <v>2336</v>
      </c>
      <c r="K133" s="1" t="str">
        <f>VLOOKUP(uslugi413[[#This Row],[ozn]],$A$2:$D$410,2,FALSE)</f>
        <v>Konin</v>
      </c>
      <c r="L133" s="1">
        <f>IF(VLOOKUP(uslugi413[[#This Row],[ozn]],$A$2:$D$410,4,FALSE)="z",1,0)</f>
        <v>0</v>
      </c>
    </row>
    <row r="134" spans="1:12" x14ac:dyDescent="0.25">
      <c r="A134" s="5" t="s">
        <v>355</v>
      </c>
      <c r="B134" s="6" t="s">
        <v>356</v>
      </c>
      <c r="C134" s="6" t="s">
        <v>357</v>
      </c>
      <c r="D134" s="7" t="s">
        <v>7</v>
      </c>
      <c r="F134">
        <v>6727559092</v>
      </c>
      <c r="G134" s="1" t="s">
        <v>862</v>
      </c>
      <c r="H134" s="1" t="s">
        <v>1214</v>
      </c>
      <c r="I134" s="1" t="s">
        <v>1087</v>
      </c>
      <c r="J134">
        <v>2034</v>
      </c>
      <c r="K134" s="1" t="str">
        <f>VLOOKUP(uslugi413[[#This Row],[ozn]],$A$2:$D$410,2,FALSE)</f>
        <v>tarnobrzeski</v>
      </c>
      <c r="L134" s="1">
        <f>IF(VLOOKUP(uslugi413[[#This Row],[ozn]],$A$2:$D$410,4,FALSE)="z",1,0)</f>
        <v>1</v>
      </c>
    </row>
    <row r="135" spans="1:12" x14ac:dyDescent="0.25">
      <c r="A135" s="2" t="s">
        <v>358</v>
      </c>
      <c r="B135" s="3" t="s">
        <v>359</v>
      </c>
      <c r="C135" s="3" t="s">
        <v>360</v>
      </c>
      <c r="D135" s="4" t="s">
        <v>7</v>
      </c>
      <c r="F135">
        <v>3318203338</v>
      </c>
      <c r="G135" s="1" t="s">
        <v>636</v>
      </c>
      <c r="H135" s="1" t="s">
        <v>1215</v>
      </c>
      <c r="I135" s="1" t="s">
        <v>1087</v>
      </c>
      <c r="J135">
        <v>1900</v>
      </c>
      <c r="K135" s="1" t="str">
        <f>VLOOKUP(uslugi413[[#This Row],[ozn]],$A$2:$D$410,2,FALSE)</f>
        <v>Poznan</v>
      </c>
      <c r="L135" s="1">
        <f>IF(VLOOKUP(uslugi413[[#This Row],[ozn]],$A$2:$D$410,4,FALSE)="z",1,0)</f>
        <v>0</v>
      </c>
    </row>
    <row r="136" spans="1:12" x14ac:dyDescent="0.25">
      <c r="A136" s="5" t="s">
        <v>361</v>
      </c>
      <c r="B136" s="6" t="s">
        <v>362</v>
      </c>
      <c r="C136" s="6" t="s">
        <v>363</v>
      </c>
      <c r="D136" s="7" t="s">
        <v>7</v>
      </c>
      <c r="F136">
        <v>5185759244</v>
      </c>
      <c r="G136" s="1" t="s">
        <v>636</v>
      </c>
      <c r="H136" s="1" t="s">
        <v>1216</v>
      </c>
      <c r="I136" s="1" t="s">
        <v>1081</v>
      </c>
      <c r="J136">
        <v>2277</v>
      </c>
      <c r="K136" s="1" t="str">
        <f>VLOOKUP(uslugi413[[#This Row],[ozn]],$A$2:$D$410,2,FALSE)</f>
        <v>Poznan</v>
      </c>
      <c r="L136" s="1">
        <f>IF(VLOOKUP(uslugi413[[#This Row],[ozn]],$A$2:$D$410,4,FALSE)="z",1,0)</f>
        <v>0</v>
      </c>
    </row>
    <row r="137" spans="1:12" x14ac:dyDescent="0.25">
      <c r="A137" s="2" t="s">
        <v>364</v>
      </c>
      <c r="B137" s="3" t="s">
        <v>365</v>
      </c>
      <c r="C137" s="3" t="s">
        <v>366</v>
      </c>
      <c r="D137" s="4" t="s">
        <v>7</v>
      </c>
      <c r="F137">
        <v>3866883575</v>
      </c>
      <c r="G137" s="1" t="s">
        <v>434</v>
      </c>
      <c r="H137" s="1" t="s">
        <v>1217</v>
      </c>
      <c r="I137" s="1" t="s">
        <v>1087</v>
      </c>
      <c r="J137">
        <v>2994</v>
      </c>
      <c r="K137" s="1" t="str">
        <f>VLOOKUP(uslugi413[[#This Row],[ozn]],$A$2:$D$410,2,FALSE)</f>
        <v>Lublin</v>
      </c>
      <c r="L137" s="1">
        <f>IF(VLOOKUP(uslugi413[[#This Row],[ozn]],$A$2:$D$410,4,FALSE)="z",1,0)</f>
        <v>0</v>
      </c>
    </row>
    <row r="138" spans="1:12" x14ac:dyDescent="0.25">
      <c r="A138" s="5" t="s">
        <v>367</v>
      </c>
      <c r="B138" s="6" t="s">
        <v>368</v>
      </c>
      <c r="C138" s="6" t="s">
        <v>369</v>
      </c>
      <c r="D138" s="7" t="s">
        <v>7</v>
      </c>
      <c r="F138">
        <v>6727559092</v>
      </c>
      <c r="G138" s="1" t="s">
        <v>862</v>
      </c>
      <c r="H138" s="1" t="s">
        <v>1218</v>
      </c>
      <c r="I138" s="1" t="s">
        <v>1087</v>
      </c>
      <c r="J138">
        <v>2315</v>
      </c>
      <c r="K138" s="1" t="str">
        <f>VLOOKUP(uslugi413[[#This Row],[ozn]],$A$2:$D$410,2,FALSE)</f>
        <v>tarnobrzeski</v>
      </c>
      <c r="L138" s="1">
        <f>IF(VLOOKUP(uslugi413[[#This Row],[ozn]],$A$2:$D$410,4,FALSE)="z",1,0)</f>
        <v>1</v>
      </c>
    </row>
    <row r="139" spans="1:12" x14ac:dyDescent="0.25">
      <c r="A139" s="2" t="s">
        <v>370</v>
      </c>
      <c r="B139" s="3" t="s">
        <v>371</v>
      </c>
      <c r="C139" s="3" t="s">
        <v>372</v>
      </c>
      <c r="D139" s="4" t="s">
        <v>7</v>
      </c>
      <c r="F139">
        <v>1165493421</v>
      </c>
      <c r="G139" s="1" t="s">
        <v>636</v>
      </c>
      <c r="H139" s="1" t="s">
        <v>1219</v>
      </c>
      <c r="I139" s="1" t="s">
        <v>1087</v>
      </c>
      <c r="J139">
        <v>2560</v>
      </c>
      <c r="K139" s="1" t="str">
        <f>VLOOKUP(uslugi413[[#This Row],[ozn]],$A$2:$D$410,2,FALSE)</f>
        <v>Poznan</v>
      </c>
      <c r="L139" s="1">
        <f>IF(VLOOKUP(uslugi413[[#This Row],[ozn]],$A$2:$D$410,4,FALSE)="z",1,0)</f>
        <v>0</v>
      </c>
    </row>
    <row r="140" spans="1:12" x14ac:dyDescent="0.25">
      <c r="A140" s="5" t="s">
        <v>373</v>
      </c>
      <c r="B140" s="6" t="s">
        <v>374</v>
      </c>
      <c r="C140" s="6" t="s">
        <v>375</v>
      </c>
      <c r="D140" s="7" t="s">
        <v>7</v>
      </c>
      <c r="F140">
        <v>4796841112</v>
      </c>
      <c r="G140" s="1" t="s">
        <v>533</v>
      </c>
      <c r="H140" s="1" t="s">
        <v>1220</v>
      </c>
      <c r="I140" s="1" t="s">
        <v>1087</v>
      </c>
      <c r="J140">
        <v>2391</v>
      </c>
      <c r="K140" s="1" t="str">
        <f>VLOOKUP(uslugi413[[#This Row],[ozn]],$A$2:$D$410,2,FALSE)</f>
        <v>olawski</v>
      </c>
      <c r="L140" s="1">
        <f>IF(VLOOKUP(uslugi413[[#This Row],[ozn]],$A$2:$D$410,4,FALSE)="z",1,0)</f>
        <v>1</v>
      </c>
    </row>
    <row r="141" spans="1:12" x14ac:dyDescent="0.25">
      <c r="A141" s="2" t="s">
        <v>376</v>
      </c>
      <c r="B141" s="3" t="s">
        <v>377</v>
      </c>
      <c r="C141" s="3" t="s">
        <v>377</v>
      </c>
      <c r="D141" s="4" t="s">
        <v>22</v>
      </c>
      <c r="F141">
        <v>5115061689</v>
      </c>
      <c r="G141" s="1" t="s">
        <v>702</v>
      </c>
      <c r="H141" s="1" t="s">
        <v>1221</v>
      </c>
      <c r="I141" s="1" t="s">
        <v>1087</v>
      </c>
      <c r="J141">
        <v>2085</v>
      </c>
      <c r="K141" s="1" t="str">
        <f>VLOOKUP(uslugi413[[#This Row],[ozn]],$A$2:$D$410,2,FALSE)</f>
        <v>Ruda Slaska</v>
      </c>
      <c r="L141" s="1">
        <f>IF(VLOOKUP(uslugi413[[#This Row],[ozn]],$A$2:$D$410,4,FALSE)="z",1,0)</f>
        <v>0</v>
      </c>
    </row>
    <row r="142" spans="1:12" x14ac:dyDescent="0.25">
      <c r="A142" s="5" t="s">
        <v>378</v>
      </c>
      <c r="B142" s="6" t="s">
        <v>379</v>
      </c>
      <c r="C142" s="6" t="s">
        <v>377</v>
      </c>
      <c r="D142" s="7" t="s">
        <v>7</v>
      </c>
      <c r="F142">
        <v>1599095267</v>
      </c>
      <c r="G142" s="1" t="s">
        <v>636</v>
      </c>
      <c r="H142" s="1" t="s">
        <v>1222</v>
      </c>
      <c r="I142" s="1" t="s">
        <v>1087</v>
      </c>
      <c r="J142">
        <v>2105</v>
      </c>
      <c r="K142" s="1" t="str">
        <f>VLOOKUP(uslugi413[[#This Row],[ozn]],$A$2:$D$410,2,FALSE)</f>
        <v>Poznan</v>
      </c>
      <c r="L142" s="1">
        <f>IF(VLOOKUP(uslugi413[[#This Row],[ozn]],$A$2:$D$410,4,FALSE)="z",1,0)</f>
        <v>0</v>
      </c>
    </row>
    <row r="143" spans="1:12" x14ac:dyDescent="0.25">
      <c r="A143" s="2" t="s">
        <v>380</v>
      </c>
      <c r="B143" s="3" t="s">
        <v>381</v>
      </c>
      <c r="C143" s="3" t="s">
        <v>382</v>
      </c>
      <c r="D143" s="4" t="s">
        <v>7</v>
      </c>
      <c r="F143">
        <v>3866883575</v>
      </c>
      <c r="G143" s="1" t="s">
        <v>434</v>
      </c>
      <c r="H143" s="1" t="s">
        <v>1223</v>
      </c>
      <c r="I143" s="1" t="s">
        <v>1087</v>
      </c>
      <c r="J143">
        <v>1928</v>
      </c>
      <c r="K143" s="1" t="str">
        <f>VLOOKUP(uslugi413[[#This Row],[ozn]],$A$2:$D$410,2,FALSE)</f>
        <v>Lublin</v>
      </c>
      <c r="L143" s="1">
        <f>IF(VLOOKUP(uslugi413[[#This Row],[ozn]],$A$2:$D$410,4,FALSE)="z",1,0)</f>
        <v>0</v>
      </c>
    </row>
    <row r="144" spans="1:12" x14ac:dyDescent="0.25">
      <c r="A144" s="5" t="s">
        <v>383</v>
      </c>
      <c r="B144" s="6" t="s">
        <v>384</v>
      </c>
      <c r="C144" s="6" t="s">
        <v>385</v>
      </c>
      <c r="D144" s="7" t="s">
        <v>7</v>
      </c>
      <c r="F144">
        <v>4779174699</v>
      </c>
      <c r="G144" s="1" t="s">
        <v>1003</v>
      </c>
      <c r="H144" s="1" t="s">
        <v>1224</v>
      </c>
      <c r="I144" s="1" t="s">
        <v>1081</v>
      </c>
      <c r="J144">
        <v>1852</v>
      </c>
      <c r="K144" s="1" t="str">
        <f>VLOOKUP(uslugi413[[#This Row],[ozn]],$A$2:$D$410,2,FALSE)</f>
        <v>Wroclaw</v>
      </c>
      <c r="L144" s="1">
        <f>IF(VLOOKUP(uslugi413[[#This Row],[ozn]],$A$2:$D$410,4,FALSE)="z",1,0)</f>
        <v>0</v>
      </c>
    </row>
    <row r="145" spans="1:12" x14ac:dyDescent="0.25">
      <c r="A145" s="2" t="s">
        <v>386</v>
      </c>
      <c r="B145" s="3" t="s">
        <v>385</v>
      </c>
      <c r="C145" s="3" t="s">
        <v>385</v>
      </c>
      <c r="D145" s="4" t="s">
        <v>22</v>
      </c>
      <c r="F145">
        <v>3866883575</v>
      </c>
      <c r="G145" s="1" t="s">
        <v>434</v>
      </c>
      <c r="H145" s="1" t="s">
        <v>1225</v>
      </c>
      <c r="I145" s="1" t="s">
        <v>1087</v>
      </c>
      <c r="J145">
        <v>2784</v>
      </c>
      <c r="K145" s="1" t="str">
        <f>VLOOKUP(uslugi413[[#This Row],[ozn]],$A$2:$D$410,2,FALSE)</f>
        <v>Lublin</v>
      </c>
      <c r="L145" s="1">
        <f>IF(VLOOKUP(uslugi413[[#This Row],[ozn]],$A$2:$D$410,4,FALSE)="z",1,0)</f>
        <v>0</v>
      </c>
    </row>
    <row r="146" spans="1:12" x14ac:dyDescent="0.25">
      <c r="A146" s="5" t="s">
        <v>387</v>
      </c>
      <c r="B146" s="6" t="s">
        <v>388</v>
      </c>
      <c r="C146" s="6" t="s">
        <v>389</v>
      </c>
      <c r="D146" s="7" t="s">
        <v>7</v>
      </c>
      <c r="F146">
        <v>4779174699</v>
      </c>
      <c r="G146" s="1" t="s">
        <v>1003</v>
      </c>
      <c r="H146" s="1" t="s">
        <v>1226</v>
      </c>
      <c r="I146" s="1" t="s">
        <v>1087</v>
      </c>
      <c r="J146">
        <v>2348</v>
      </c>
      <c r="K146" s="1" t="str">
        <f>VLOOKUP(uslugi413[[#This Row],[ozn]],$A$2:$D$410,2,FALSE)</f>
        <v>Wroclaw</v>
      </c>
      <c r="L146" s="1">
        <f>IF(VLOOKUP(uslugi413[[#This Row],[ozn]],$A$2:$D$410,4,FALSE)="z",1,0)</f>
        <v>0</v>
      </c>
    </row>
    <row r="147" spans="1:12" x14ac:dyDescent="0.25">
      <c r="A147" s="2" t="s">
        <v>390</v>
      </c>
      <c r="B147" s="3" t="s">
        <v>391</v>
      </c>
      <c r="C147" s="3" t="s">
        <v>392</v>
      </c>
      <c r="D147" s="4" t="s">
        <v>7</v>
      </c>
      <c r="F147">
        <v>3318203338</v>
      </c>
      <c r="G147" s="1" t="s">
        <v>248</v>
      </c>
      <c r="H147" s="1" t="s">
        <v>1227</v>
      </c>
      <c r="I147" s="1" t="s">
        <v>1087</v>
      </c>
      <c r="J147">
        <v>2305</v>
      </c>
      <c r="K147" s="1" t="str">
        <f>VLOOKUP(uslugi413[[#This Row],[ozn]],$A$2:$D$410,2,FALSE)</f>
        <v>Jaworzno</v>
      </c>
      <c r="L147" s="1">
        <f>IF(VLOOKUP(uslugi413[[#This Row],[ozn]],$A$2:$D$410,4,FALSE)="z",1,0)</f>
        <v>0</v>
      </c>
    </row>
    <row r="148" spans="1:12" x14ac:dyDescent="0.25">
      <c r="A148" s="5" t="s">
        <v>393</v>
      </c>
      <c r="B148" s="6" t="s">
        <v>394</v>
      </c>
      <c r="C148" s="6" t="s">
        <v>395</v>
      </c>
      <c r="D148" s="7" t="s">
        <v>7</v>
      </c>
      <c r="F148">
        <v>1433397952</v>
      </c>
      <c r="G148" s="1" t="s">
        <v>314</v>
      </c>
      <c r="H148" s="1" t="s">
        <v>1228</v>
      </c>
      <c r="I148" s="1" t="s">
        <v>1081</v>
      </c>
      <c r="J148">
        <v>2282</v>
      </c>
      <c r="K148" s="1" t="str">
        <f>VLOOKUP(uslugi413[[#This Row],[ozn]],$A$2:$D$410,2,FALSE)</f>
        <v>Konin</v>
      </c>
      <c r="L148" s="1">
        <f>IF(VLOOKUP(uslugi413[[#This Row],[ozn]],$A$2:$D$410,4,FALSE)="z",1,0)</f>
        <v>0</v>
      </c>
    </row>
    <row r="149" spans="1:12" x14ac:dyDescent="0.25">
      <c r="A149" s="2" t="s">
        <v>396</v>
      </c>
      <c r="B149" s="3" t="s">
        <v>397</v>
      </c>
      <c r="C149" s="3" t="s">
        <v>398</v>
      </c>
      <c r="D149" s="4" t="s">
        <v>7</v>
      </c>
      <c r="F149">
        <v>4326751508</v>
      </c>
      <c r="G149" s="1" t="s">
        <v>405</v>
      </c>
      <c r="H149" s="1" t="s">
        <v>1229</v>
      </c>
      <c r="I149" s="1" t="s">
        <v>1081</v>
      </c>
      <c r="J149">
        <v>2408</v>
      </c>
      <c r="K149" s="1" t="str">
        <f>VLOOKUP(uslugi413[[#This Row],[ozn]],$A$2:$D$410,2,FALSE)</f>
        <v>Lodz</v>
      </c>
      <c r="L149" s="1">
        <f>IF(VLOOKUP(uslugi413[[#This Row],[ozn]],$A$2:$D$410,4,FALSE)="z",1,0)</f>
        <v>0</v>
      </c>
    </row>
    <row r="150" spans="1:12" x14ac:dyDescent="0.25">
      <c r="A150" s="5" t="s">
        <v>399</v>
      </c>
      <c r="B150" s="6" t="s">
        <v>400</v>
      </c>
      <c r="C150" s="6" t="s">
        <v>401</v>
      </c>
      <c r="D150" s="7" t="s">
        <v>7</v>
      </c>
      <c r="F150">
        <v>3470453173</v>
      </c>
      <c r="G150" s="1" t="s">
        <v>85</v>
      </c>
      <c r="H150" s="1" t="s">
        <v>1230</v>
      </c>
      <c r="I150" s="1" t="s">
        <v>1087</v>
      </c>
      <c r="J150">
        <v>1835</v>
      </c>
      <c r="K150" s="1" t="str">
        <f>VLOOKUP(uslugi413[[#This Row],[ozn]],$A$2:$D$410,2,FALSE)</f>
        <v>Chelm</v>
      </c>
      <c r="L150" s="1">
        <f>IF(VLOOKUP(uslugi413[[#This Row],[ozn]],$A$2:$D$410,4,FALSE)="z",1,0)</f>
        <v>0</v>
      </c>
    </row>
    <row r="151" spans="1:12" x14ac:dyDescent="0.25">
      <c r="A151" s="2" t="s">
        <v>402</v>
      </c>
      <c r="B151" s="3" t="s">
        <v>403</v>
      </c>
      <c r="C151" s="3" t="s">
        <v>404</v>
      </c>
      <c r="D151" s="4" t="s">
        <v>7</v>
      </c>
      <c r="F151">
        <v>3783578981</v>
      </c>
      <c r="G151" s="1" t="s">
        <v>405</v>
      </c>
      <c r="H151" s="1" t="s">
        <v>1231</v>
      </c>
      <c r="I151" s="1" t="s">
        <v>1081</v>
      </c>
      <c r="J151">
        <v>1869</v>
      </c>
      <c r="K151" s="1" t="str">
        <f>VLOOKUP(uslugi413[[#This Row],[ozn]],$A$2:$D$410,2,FALSE)</f>
        <v>Lodz</v>
      </c>
      <c r="L151" s="1">
        <f>IF(VLOOKUP(uslugi413[[#This Row],[ozn]],$A$2:$D$410,4,FALSE)="z",1,0)</f>
        <v>0</v>
      </c>
    </row>
    <row r="152" spans="1:12" x14ac:dyDescent="0.25">
      <c r="A152" s="5" t="s">
        <v>405</v>
      </c>
      <c r="B152" s="6" t="s">
        <v>406</v>
      </c>
      <c r="C152" s="6" t="s">
        <v>406</v>
      </c>
      <c r="D152" s="7" t="s">
        <v>22</v>
      </c>
      <c r="F152">
        <v>3568004264</v>
      </c>
      <c r="G152" s="1" t="s">
        <v>428</v>
      </c>
      <c r="H152" s="1" t="s">
        <v>1232</v>
      </c>
      <c r="I152" s="1" t="s">
        <v>1087</v>
      </c>
      <c r="J152">
        <v>1804</v>
      </c>
      <c r="K152" s="1" t="str">
        <f>VLOOKUP(uslugi413[[#This Row],[ozn]],$A$2:$D$410,2,FALSE)</f>
        <v>lubelski</v>
      </c>
      <c r="L152" s="1">
        <f>IF(VLOOKUP(uslugi413[[#This Row],[ozn]],$A$2:$D$410,4,FALSE)="z",1,0)</f>
        <v>1</v>
      </c>
    </row>
    <row r="153" spans="1:12" x14ac:dyDescent="0.25">
      <c r="A153" s="2" t="s">
        <v>407</v>
      </c>
      <c r="B153" s="3" t="s">
        <v>408</v>
      </c>
      <c r="C153" s="3" t="s">
        <v>406</v>
      </c>
      <c r="D153" s="4" t="s">
        <v>7</v>
      </c>
      <c r="F153">
        <v>6758177505</v>
      </c>
      <c r="G153" s="1" t="s">
        <v>862</v>
      </c>
      <c r="H153" s="1" t="s">
        <v>1233</v>
      </c>
      <c r="I153" s="1" t="s">
        <v>1081</v>
      </c>
      <c r="J153">
        <v>2990</v>
      </c>
      <c r="K153" s="1" t="str">
        <f>VLOOKUP(uslugi413[[#This Row],[ozn]],$A$2:$D$410,2,FALSE)</f>
        <v>tarnobrzeski</v>
      </c>
      <c r="L153" s="1">
        <f>IF(VLOOKUP(uslugi413[[#This Row],[ozn]],$A$2:$D$410,4,FALSE)="z",1,0)</f>
        <v>1</v>
      </c>
    </row>
    <row r="154" spans="1:12" x14ac:dyDescent="0.25">
      <c r="A154" s="5" t="s">
        <v>409</v>
      </c>
      <c r="B154" s="6" t="s">
        <v>410</v>
      </c>
      <c r="C154" s="6" t="s">
        <v>410</v>
      </c>
      <c r="D154" s="7" t="s">
        <v>22</v>
      </c>
      <c r="F154">
        <v>5115061689</v>
      </c>
      <c r="G154" s="1" t="s">
        <v>702</v>
      </c>
      <c r="H154" s="1" t="s">
        <v>1234</v>
      </c>
      <c r="I154" s="1" t="s">
        <v>1081</v>
      </c>
      <c r="J154">
        <v>2840</v>
      </c>
      <c r="K154" s="1" t="str">
        <f>VLOOKUP(uslugi413[[#This Row],[ozn]],$A$2:$D$410,2,FALSE)</f>
        <v>Ruda Slaska</v>
      </c>
      <c r="L154" s="1">
        <f>IF(VLOOKUP(uslugi413[[#This Row],[ozn]],$A$2:$D$410,4,FALSE)="z",1,0)</f>
        <v>0</v>
      </c>
    </row>
    <row r="155" spans="1:12" x14ac:dyDescent="0.25">
      <c r="A155" s="2" t="s">
        <v>411</v>
      </c>
      <c r="B155" s="3" t="s">
        <v>412</v>
      </c>
      <c r="C155" s="3" t="s">
        <v>410</v>
      </c>
      <c r="D155" s="4" t="s">
        <v>7</v>
      </c>
      <c r="F155">
        <v>5418968184</v>
      </c>
      <c r="G155" s="1" t="s">
        <v>248</v>
      </c>
      <c r="H155" s="1" t="s">
        <v>1235</v>
      </c>
      <c r="I155" s="1" t="s">
        <v>1087</v>
      </c>
      <c r="J155">
        <v>1929</v>
      </c>
      <c r="K155" s="1" t="str">
        <f>VLOOKUP(uslugi413[[#This Row],[ozn]],$A$2:$D$410,2,FALSE)</f>
        <v>Jaworzno</v>
      </c>
      <c r="L155" s="1">
        <f>IF(VLOOKUP(uslugi413[[#This Row],[ozn]],$A$2:$D$410,4,FALSE)="z",1,0)</f>
        <v>0</v>
      </c>
    </row>
    <row r="156" spans="1:12" x14ac:dyDescent="0.25">
      <c r="A156" s="5" t="s">
        <v>413</v>
      </c>
      <c r="B156" s="6" t="s">
        <v>414</v>
      </c>
      <c r="C156" s="6" t="s">
        <v>415</v>
      </c>
      <c r="D156" s="7" t="s">
        <v>7</v>
      </c>
      <c r="F156">
        <v>2581219876</v>
      </c>
      <c r="G156" s="1" t="s">
        <v>141</v>
      </c>
      <c r="H156" s="1" t="s">
        <v>1236</v>
      </c>
      <c r="I156" s="1" t="s">
        <v>1081</v>
      </c>
      <c r="J156">
        <v>2506</v>
      </c>
      <c r="K156" s="1" t="str">
        <f>VLOOKUP(uslugi413[[#This Row],[ozn]],$A$2:$D$410,2,FALSE)</f>
        <v>elblaski</v>
      </c>
      <c r="L156" s="1">
        <f>IF(VLOOKUP(uslugi413[[#This Row],[ozn]],$A$2:$D$410,4,FALSE)="z",1,0)</f>
        <v>1</v>
      </c>
    </row>
    <row r="157" spans="1:12" x14ac:dyDescent="0.25">
      <c r="A157" s="2" t="s">
        <v>416</v>
      </c>
      <c r="B157" s="3" t="s">
        <v>417</v>
      </c>
      <c r="C157" s="3" t="s">
        <v>418</v>
      </c>
      <c r="D157" s="4" t="s">
        <v>7</v>
      </c>
      <c r="F157">
        <v>1127056356</v>
      </c>
      <c r="G157" s="1" t="s">
        <v>317</v>
      </c>
      <c r="H157" s="1" t="s">
        <v>1237</v>
      </c>
      <c r="I157" s="1" t="s">
        <v>1087</v>
      </c>
      <c r="J157">
        <v>2924</v>
      </c>
      <c r="K157" s="1" t="str">
        <f>VLOOKUP(uslugi413[[#This Row],[ozn]],$A$2:$D$410,2,FALSE)</f>
        <v>koscianski</v>
      </c>
      <c r="L157" s="1">
        <f>IF(VLOOKUP(uslugi413[[#This Row],[ozn]],$A$2:$D$410,4,FALSE)="z",1,0)</f>
        <v>1</v>
      </c>
    </row>
    <row r="158" spans="1:12" x14ac:dyDescent="0.25">
      <c r="A158" s="5" t="s">
        <v>419</v>
      </c>
      <c r="B158" s="6" t="s">
        <v>420</v>
      </c>
      <c r="C158" s="6" t="s">
        <v>421</v>
      </c>
      <c r="D158" s="7" t="s">
        <v>7</v>
      </c>
      <c r="F158">
        <v>5528435390</v>
      </c>
      <c r="G158" s="1" t="s">
        <v>248</v>
      </c>
      <c r="H158" s="1" t="s">
        <v>1238</v>
      </c>
      <c r="I158" s="1" t="s">
        <v>1081</v>
      </c>
      <c r="J158">
        <v>2283</v>
      </c>
      <c r="K158" s="1" t="str">
        <f>VLOOKUP(uslugi413[[#This Row],[ozn]],$A$2:$D$410,2,FALSE)</f>
        <v>Jaworzno</v>
      </c>
      <c r="L158" s="1">
        <f>IF(VLOOKUP(uslugi413[[#This Row],[ozn]],$A$2:$D$410,4,FALSE)="z",1,0)</f>
        <v>0</v>
      </c>
    </row>
    <row r="159" spans="1:12" x14ac:dyDescent="0.25">
      <c r="A159" s="2" t="s">
        <v>422</v>
      </c>
      <c r="B159" s="3" t="s">
        <v>423</v>
      </c>
      <c r="C159" s="3" t="s">
        <v>424</v>
      </c>
      <c r="D159" s="4" t="s">
        <v>7</v>
      </c>
      <c r="F159">
        <v>4241680809</v>
      </c>
      <c r="G159" s="1" t="s">
        <v>248</v>
      </c>
      <c r="H159" s="1" t="s">
        <v>1239</v>
      </c>
      <c r="I159" s="1" t="s">
        <v>1081</v>
      </c>
      <c r="J159">
        <v>2350</v>
      </c>
      <c r="K159" s="1" t="str">
        <f>VLOOKUP(uslugi413[[#This Row],[ozn]],$A$2:$D$410,2,FALSE)</f>
        <v>Jaworzno</v>
      </c>
      <c r="L159" s="1">
        <f>IF(VLOOKUP(uslugi413[[#This Row],[ozn]],$A$2:$D$410,4,FALSE)="z",1,0)</f>
        <v>0</v>
      </c>
    </row>
    <row r="160" spans="1:12" x14ac:dyDescent="0.25">
      <c r="A160" s="5" t="s">
        <v>425</v>
      </c>
      <c r="B160" s="6" t="s">
        <v>426</v>
      </c>
      <c r="C160" s="6" t="s">
        <v>427</v>
      </c>
      <c r="D160" s="7" t="s">
        <v>7</v>
      </c>
      <c r="F160">
        <v>2245871126</v>
      </c>
      <c r="G160" s="1" t="s">
        <v>73</v>
      </c>
      <c r="H160" s="1" t="s">
        <v>1240</v>
      </c>
      <c r="I160" s="1" t="s">
        <v>1081</v>
      </c>
      <c r="J160">
        <v>2340</v>
      </c>
      <c r="K160" s="1" t="str">
        <f>VLOOKUP(uslugi413[[#This Row],[ozn]],$A$2:$D$410,2,FALSE)</f>
        <v>buski</v>
      </c>
      <c r="L160" s="1">
        <f>IF(VLOOKUP(uslugi413[[#This Row],[ozn]],$A$2:$D$410,4,FALSE)="z",1,0)</f>
        <v>1</v>
      </c>
    </row>
    <row r="161" spans="1:12" x14ac:dyDescent="0.25">
      <c r="A161" s="2" t="s">
        <v>428</v>
      </c>
      <c r="B161" s="3" t="s">
        <v>429</v>
      </c>
      <c r="C161" s="3" t="s">
        <v>430</v>
      </c>
      <c r="D161" s="4" t="s">
        <v>7</v>
      </c>
      <c r="F161">
        <v>1620242236</v>
      </c>
      <c r="G161" s="1" t="s">
        <v>314</v>
      </c>
      <c r="H161" s="1" t="s">
        <v>1241</v>
      </c>
      <c r="I161" s="1" t="s">
        <v>1081</v>
      </c>
      <c r="J161">
        <v>2368</v>
      </c>
      <c r="K161" s="1" t="str">
        <f>VLOOKUP(uslugi413[[#This Row],[ozn]],$A$2:$D$410,2,FALSE)</f>
        <v>Konin</v>
      </c>
      <c r="L161" s="1">
        <f>IF(VLOOKUP(uslugi413[[#This Row],[ozn]],$A$2:$D$410,4,FALSE)="z",1,0)</f>
        <v>0</v>
      </c>
    </row>
    <row r="162" spans="1:12" x14ac:dyDescent="0.25">
      <c r="A162" s="5" t="s">
        <v>431</v>
      </c>
      <c r="B162" s="6" t="s">
        <v>432</v>
      </c>
      <c r="C162" s="6" t="s">
        <v>433</v>
      </c>
      <c r="D162" s="7" t="s">
        <v>7</v>
      </c>
      <c r="F162">
        <v>4796841112</v>
      </c>
      <c r="G162" s="1" t="s">
        <v>533</v>
      </c>
      <c r="H162" s="1" t="s">
        <v>1242</v>
      </c>
      <c r="I162" s="1" t="s">
        <v>1081</v>
      </c>
      <c r="J162">
        <v>3336</v>
      </c>
      <c r="K162" s="1" t="str">
        <f>VLOOKUP(uslugi413[[#This Row],[ozn]],$A$2:$D$410,2,FALSE)</f>
        <v>olawski</v>
      </c>
      <c r="L162" s="1">
        <f>IF(VLOOKUP(uslugi413[[#This Row],[ozn]],$A$2:$D$410,4,FALSE)="z",1,0)</f>
        <v>1</v>
      </c>
    </row>
    <row r="163" spans="1:12" x14ac:dyDescent="0.25">
      <c r="A163" s="2" t="s">
        <v>434</v>
      </c>
      <c r="B163" s="3" t="s">
        <v>430</v>
      </c>
      <c r="C163" s="3" t="s">
        <v>430</v>
      </c>
      <c r="D163" s="4" t="s">
        <v>22</v>
      </c>
      <c r="F163">
        <v>3783578981</v>
      </c>
      <c r="G163" s="1" t="s">
        <v>405</v>
      </c>
      <c r="H163" s="1" t="s">
        <v>1243</v>
      </c>
      <c r="I163" s="1" t="s">
        <v>1081</v>
      </c>
      <c r="J163">
        <v>2510</v>
      </c>
      <c r="K163" s="1" t="str">
        <f>VLOOKUP(uslugi413[[#This Row],[ozn]],$A$2:$D$410,2,FALSE)</f>
        <v>Lodz</v>
      </c>
      <c r="L163" s="1">
        <f>IF(VLOOKUP(uslugi413[[#This Row],[ozn]],$A$2:$D$410,4,FALSE)="z",1,0)</f>
        <v>0</v>
      </c>
    </row>
    <row r="164" spans="1:12" x14ac:dyDescent="0.25">
      <c r="A164" s="5" t="s">
        <v>435</v>
      </c>
      <c r="B164" s="6" t="s">
        <v>436</v>
      </c>
      <c r="C164" s="6" t="s">
        <v>437</v>
      </c>
      <c r="D164" s="7" t="s">
        <v>7</v>
      </c>
      <c r="F164">
        <v>5115061689</v>
      </c>
      <c r="G164" s="1" t="s">
        <v>704</v>
      </c>
      <c r="H164" s="1" t="s">
        <v>1244</v>
      </c>
      <c r="I164" s="1" t="s">
        <v>1081</v>
      </c>
      <c r="J164">
        <v>2358</v>
      </c>
      <c r="K164" s="1" t="str">
        <f>VLOOKUP(uslugi413[[#This Row],[ozn]],$A$2:$D$410,2,FALSE)</f>
        <v>Ruda Slaska</v>
      </c>
      <c r="L164" s="1">
        <f>IF(VLOOKUP(uslugi413[[#This Row],[ozn]],$A$2:$D$410,4,FALSE)="z",1,0)</f>
        <v>0</v>
      </c>
    </row>
    <row r="165" spans="1:12" x14ac:dyDescent="0.25">
      <c r="A165" s="2" t="s">
        <v>438</v>
      </c>
      <c r="B165" s="3" t="s">
        <v>439</v>
      </c>
      <c r="C165" s="3" t="s">
        <v>440</v>
      </c>
      <c r="D165" s="4" t="s">
        <v>7</v>
      </c>
      <c r="F165">
        <v>6758177505</v>
      </c>
      <c r="G165" s="1" t="s">
        <v>562</v>
      </c>
      <c r="H165" s="1" t="s">
        <v>1245</v>
      </c>
      <c r="I165" s="1" t="s">
        <v>1081</v>
      </c>
      <c r="J165">
        <v>3104</v>
      </c>
      <c r="K165" s="1" t="str">
        <f>VLOOKUP(uslugi413[[#This Row],[ozn]],$A$2:$D$410,2,FALSE)</f>
        <v>opolski</v>
      </c>
      <c r="L165" s="1">
        <f>IF(VLOOKUP(uslugi413[[#This Row],[ozn]],$A$2:$D$410,4,FALSE)="z",1,0)</f>
        <v>1</v>
      </c>
    </row>
    <row r="166" spans="1:12" x14ac:dyDescent="0.25">
      <c r="A166" s="5" t="s">
        <v>441</v>
      </c>
      <c r="B166" s="6" t="s">
        <v>442</v>
      </c>
      <c r="C166" s="6" t="s">
        <v>443</v>
      </c>
      <c r="D166" s="7" t="s">
        <v>7</v>
      </c>
      <c r="F166">
        <v>2138598159</v>
      </c>
      <c r="G166" s="1" t="s">
        <v>143</v>
      </c>
      <c r="H166" s="1" t="s">
        <v>1246</v>
      </c>
      <c r="I166" s="1" t="s">
        <v>1081</v>
      </c>
      <c r="J166">
        <v>2391</v>
      </c>
      <c r="K166" s="1" t="str">
        <f>VLOOKUP(uslugi413[[#This Row],[ozn]],$A$2:$D$410,2,FALSE)</f>
        <v>elcki</v>
      </c>
      <c r="L166" s="1">
        <f>IF(VLOOKUP(uslugi413[[#This Row],[ozn]],$A$2:$D$410,4,FALSE)="z",1,0)</f>
        <v>1</v>
      </c>
    </row>
    <row r="167" spans="1:12" x14ac:dyDescent="0.25">
      <c r="A167" s="2" t="s">
        <v>444</v>
      </c>
      <c r="B167" s="3" t="s">
        <v>445</v>
      </c>
      <c r="C167" s="3" t="s">
        <v>446</v>
      </c>
      <c r="D167" s="4" t="s">
        <v>7</v>
      </c>
      <c r="F167">
        <v>1524870307</v>
      </c>
      <c r="G167" s="1" t="s">
        <v>248</v>
      </c>
      <c r="H167" s="1" t="s">
        <v>1247</v>
      </c>
      <c r="I167" s="1" t="s">
        <v>1081</v>
      </c>
      <c r="J167">
        <v>2790</v>
      </c>
      <c r="K167" s="1" t="str">
        <f>VLOOKUP(uslugi413[[#This Row],[ozn]],$A$2:$D$410,2,FALSE)</f>
        <v>Jaworzno</v>
      </c>
      <c r="L167" s="1">
        <f>IF(VLOOKUP(uslugi413[[#This Row],[ozn]],$A$2:$D$410,4,FALSE)="z",1,0)</f>
        <v>0</v>
      </c>
    </row>
    <row r="168" spans="1:12" x14ac:dyDescent="0.25">
      <c r="A168" s="5" t="s">
        <v>447</v>
      </c>
      <c r="B168" s="6" t="s">
        <v>448</v>
      </c>
      <c r="C168" s="6" t="s">
        <v>449</v>
      </c>
      <c r="D168" s="7" t="s">
        <v>7</v>
      </c>
      <c r="F168">
        <v>4796841112</v>
      </c>
      <c r="G168" s="1" t="s">
        <v>533</v>
      </c>
      <c r="H168" s="1" t="s">
        <v>1248</v>
      </c>
      <c r="I168" s="1" t="s">
        <v>1081</v>
      </c>
      <c r="J168">
        <v>1796</v>
      </c>
      <c r="K168" s="1" t="str">
        <f>VLOOKUP(uslugi413[[#This Row],[ozn]],$A$2:$D$410,2,FALSE)</f>
        <v>olawski</v>
      </c>
      <c r="L168" s="1">
        <f>IF(VLOOKUP(uslugi413[[#This Row],[ozn]],$A$2:$D$410,4,FALSE)="z",1,0)</f>
        <v>1</v>
      </c>
    </row>
    <row r="169" spans="1:12" x14ac:dyDescent="0.25">
      <c r="A169" s="2" t="s">
        <v>450</v>
      </c>
      <c r="B169" s="3" t="s">
        <v>451</v>
      </c>
      <c r="C169" s="3" t="s">
        <v>452</v>
      </c>
      <c r="D169" s="4" t="s">
        <v>7</v>
      </c>
      <c r="F169">
        <v>3470453173</v>
      </c>
      <c r="G169" s="1" t="s">
        <v>85</v>
      </c>
      <c r="H169" s="1" t="s">
        <v>1249</v>
      </c>
      <c r="I169" s="1" t="s">
        <v>1081</v>
      </c>
      <c r="J169">
        <v>1790</v>
      </c>
      <c r="K169" s="1" t="str">
        <f>VLOOKUP(uslugi413[[#This Row],[ozn]],$A$2:$D$410,2,FALSE)</f>
        <v>Chelm</v>
      </c>
      <c r="L169" s="1">
        <f>IF(VLOOKUP(uslugi413[[#This Row],[ozn]],$A$2:$D$410,4,FALSE)="z",1,0)</f>
        <v>0</v>
      </c>
    </row>
    <row r="170" spans="1:12" x14ac:dyDescent="0.25">
      <c r="A170" s="5" t="s">
        <v>453</v>
      </c>
      <c r="B170" s="6" t="s">
        <v>454</v>
      </c>
      <c r="C170" s="6" t="s">
        <v>455</v>
      </c>
      <c r="D170" s="7" t="s">
        <v>7</v>
      </c>
      <c r="F170">
        <v>4761158900</v>
      </c>
      <c r="G170" s="1" t="s">
        <v>294</v>
      </c>
      <c r="H170" s="1" t="s">
        <v>1250</v>
      </c>
      <c r="I170" s="1" t="s">
        <v>1087</v>
      </c>
      <c r="J170">
        <v>2460</v>
      </c>
      <c r="K170" s="1" t="str">
        <f>VLOOKUP(uslugi413[[#This Row],[ozn]],$A$2:$D$410,2,FALSE)</f>
        <v>kluczborski</v>
      </c>
      <c r="L170" s="1">
        <f>IF(VLOOKUP(uslugi413[[#This Row],[ozn]],$A$2:$D$410,4,FALSE)="z",1,0)</f>
        <v>1</v>
      </c>
    </row>
    <row r="171" spans="1:12" x14ac:dyDescent="0.25">
      <c r="A171" s="2" t="s">
        <v>456</v>
      </c>
      <c r="B171" s="3" t="s">
        <v>457</v>
      </c>
      <c r="C171" s="3" t="s">
        <v>458</v>
      </c>
      <c r="D171" s="4" t="s">
        <v>7</v>
      </c>
      <c r="F171">
        <v>3866883575</v>
      </c>
      <c r="G171" s="1" t="s">
        <v>434</v>
      </c>
      <c r="H171" s="1" t="s">
        <v>1251</v>
      </c>
      <c r="I171" s="1" t="s">
        <v>1081</v>
      </c>
      <c r="J171">
        <v>3300</v>
      </c>
      <c r="K171" s="1" t="str">
        <f>VLOOKUP(uslugi413[[#This Row],[ozn]],$A$2:$D$410,2,FALSE)</f>
        <v>Lublin</v>
      </c>
      <c r="L171" s="1">
        <f>IF(VLOOKUP(uslugi413[[#This Row],[ozn]],$A$2:$D$410,4,FALSE)="z",1,0)</f>
        <v>0</v>
      </c>
    </row>
    <row r="172" spans="1:12" x14ac:dyDescent="0.25">
      <c r="A172" s="5" t="s">
        <v>459</v>
      </c>
      <c r="B172" s="6" t="s">
        <v>460</v>
      </c>
      <c r="C172" s="6" t="s">
        <v>461</v>
      </c>
      <c r="D172" s="7" t="s">
        <v>7</v>
      </c>
      <c r="F172">
        <v>4326751508</v>
      </c>
      <c r="G172" s="1" t="s">
        <v>405</v>
      </c>
      <c r="H172" s="1" t="s">
        <v>1252</v>
      </c>
      <c r="I172" s="1" t="s">
        <v>1081</v>
      </c>
      <c r="J172">
        <v>2365</v>
      </c>
      <c r="K172" s="1" t="str">
        <f>VLOOKUP(uslugi413[[#This Row],[ozn]],$A$2:$D$410,2,FALSE)</f>
        <v>Lodz</v>
      </c>
      <c r="L172" s="1">
        <f>IF(VLOOKUP(uslugi413[[#This Row],[ozn]],$A$2:$D$410,4,FALSE)="z",1,0)</f>
        <v>0</v>
      </c>
    </row>
    <row r="173" spans="1:12" x14ac:dyDescent="0.25">
      <c r="A173" s="2" t="s">
        <v>462</v>
      </c>
      <c r="B173" s="3" t="s">
        <v>463</v>
      </c>
      <c r="C173" s="3" t="s">
        <v>464</v>
      </c>
      <c r="D173" s="4" t="s">
        <v>7</v>
      </c>
      <c r="F173">
        <v>1278408463</v>
      </c>
      <c r="G173" s="1" t="s">
        <v>312</v>
      </c>
      <c r="H173" s="1" t="s">
        <v>1253</v>
      </c>
      <c r="I173" s="1" t="s">
        <v>1087</v>
      </c>
      <c r="J173">
        <v>3270</v>
      </c>
      <c r="K173" s="1" t="str">
        <f>VLOOKUP(uslugi413[[#This Row],[ozn]],$A$2:$D$410,2,FALSE)</f>
        <v>Konin</v>
      </c>
      <c r="L173" s="1">
        <f>IF(VLOOKUP(uslugi413[[#This Row],[ozn]],$A$2:$D$410,4,FALSE)="z",1,0)</f>
        <v>0</v>
      </c>
    </row>
    <row r="174" spans="1:12" x14ac:dyDescent="0.25">
      <c r="A174" s="5" t="s">
        <v>465</v>
      </c>
      <c r="B174" s="6" t="s">
        <v>466</v>
      </c>
      <c r="C174" s="6" t="s">
        <v>467</v>
      </c>
      <c r="D174" s="7" t="s">
        <v>7</v>
      </c>
      <c r="F174">
        <v>4326751508</v>
      </c>
      <c r="G174" s="1" t="s">
        <v>405</v>
      </c>
      <c r="H174" s="1" t="s">
        <v>1254</v>
      </c>
      <c r="I174" s="1" t="s">
        <v>1081</v>
      </c>
      <c r="J174">
        <v>1835</v>
      </c>
      <c r="K174" s="1" t="str">
        <f>VLOOKUP(uslugi413[[#This Row],[ozn]],$A$2:$D$410,2,FALSE)</f>
        <v>Lodz</v>
      </c>
      <c r="L174" s="1">
        <f>IF(VLOOKUP(uslugi413[[#This Row],[ozn]],$A$2:$D$410,4,FALSE)="z",1,0)</f>
        <v>0</v>
      </c>
    </row>
    <row r="175" spans="1:12" x14ac:dyDescent="0.25">
      <c r="A175" s="2" t="s">
        <v>468</v>
      </c>
      <c r="B175" s="3" t="s">
        <v>469</v>
      </c>
      <c r="C175" s="3" t="s">
        <v>470</v>
      </c>
      <c r="D175" s="4" t="s">
        <v>7</v>
      </c>
      <c r="F175">
        <v>1581329071</v>
      </c>
      <c r="G175" s="1" t="s">
        <v>248</v>
      </c>
      <c r="H175" s="1" t="s">
        <v>1255</v>
      </c>
      <c r="I175" s="1" t="s">
        <v>1087</v>
      </c>
      <c r="J175">
        <v>2320</v>
      </c>
      <c r="K175" s="1" t="str">
        <f>VLOOKUP(uslugi413[[#This Row],[ozn]],$A$2:$D$410,2,FALSE)</f>
        <v>Jaworzno</v>
      </c>
      <c r="L175" s="1">
        <f>IF(VLOOKUP(uslugi413[[#This Row],[ozn]],$A$2:$D$410,4,FALSE)="z",1,0)</f>
        <v>0</v>
      </c>
    </row>
    <row r="176" spans="1:12" x14ac:dyDescent="0.25">
      <c r="A176" s="5" t="s">
        <v>471</v>
      </c>
      <c r="B176" s="6" t="s">
        <v>472</v>
      </c>
      <c r="C176" s="6" t="s">
        <v>473</v>
      </c>
      <c r="D176" s="7" t="s">
        <v>7</v>
      </c>
      <c r="F176">
        <v>1620242236</v>
      </c>
      <c r="G176" s="1" t="s">
        <v>314</v>
      </c>
      <c r="H176" s="1" t="s">
        <v>1256</v>
      </c>
      <c r="I176" s="1" t="s">
        <v>1081</v>
      </c>
      <c r="J176">
        <v>2067</v>
      </c>
      <c r="K176" s="1" t="str">
        <f>VLOOKUP(uslugi413[[#This Row],[ozn]],$A$2:$D$410,2,FALSE)</f>
        <v>Konin</v>
      </c>
      <c r="L176" s="1">
        <f>IF(VLOOKUP(uslugi413[[#This Row],[ozn]],$A$2:$D$410,4,FALSE)="z",1,0)</f>
        <v>0</v>
      </c>
    </row>
    <row r="177" spans="1:12" x14ac:dyDescent="0.25">
      <c r="A177" s="2" t="s">
        <v>474</v>
      </c>
      <c r="B177" s="3" t="s">
        <v>475</v>
      </c>
      <c r="C177" s="3" t="s">
        <v>476</v>
      </c>
      <c r="D177" s="4" t="s">
        <v>7</v>
      </c>
      <c r="F177">
        <v>2214740049</v>
      </c>
      <c r="G177" s="1" t="s">
        <v>56</v>
      </c>
      <c r="H177" s="1" t="s">
        <v>1257</v>
      </c>
      <c r="I177" s="1" t="s">
        <v>1081</v>
      </c>
      <c r="J177">
        <v>2366</v>
      </c>
      <c r="K177" s="1" t="str">
        <f>VLOOKUP(uslugi413[[#This Row],[ozn]],$A$2:$D$410,2,FALSE)</f>
        <v>braniewski</v>
      </c>
      <c r="L177" s="1">
        <f>IF(VLOOKUP(uslugi413[[#This Row],[ozn]],$A$2:$D$410,4,FALSE)="z",1,0)</f>
        <v>1</v>
      </c>
    </row>
    <row r="178" spans="1:12" x14ac:dyDescent="0.25">
      <c r="A178" s="5" t="s">
        <v>477</v>
      </c>
      <c r="B178" s="6" t="s">
        <v>478</v>
      </c>
      <c r="C178" s="6" t="s">
        <v>479</v>
      </c>
      <c r="D178" s="7" t="s">
        <v>7</v>
      </c>
      <c r="F178">
        <v>1433397952</v>
      </c>
      <c r="G178" s="1" t="s">
        <v>314</v>
      </c>
      <c r="H178" s="1" t="s">
        <v>1258</v>
      </c>
      <c r="I178" s="1" t="s">
        <v>1081</v>
      </c>
      <c r="J178">
        <v>1990</v>
      </c>
      <c r="K178" s="1" t="str">
        <f>VLOOKUP(uslugi413[[#This Row],[ozn]],$A$2:$D$410,2,FALSE)</f>
        <v>Konin</v>
      </c>
      <c r="L178" s="1">
        <f>IF(VLOOKUP(uslugi413[[#This Row],[ozn]],$A$2:$D$410,4,FALSE)="z",1,0)</f>
        <v>0</v>
      </c>
    </row>
    <row r="179" spans="1:12" x14ac:dyDescent="0.25">
      <c r="A179" s="2" t="s">
        <v>480</v>
      </c>
      <c r="B179" s="3" t="s">
        <v>481</v>
      </c>
      <c r="C179" s="3" t="s">
        <v>482</v>
      </c>
      <c r="D179" s="4" t="s">
        <v>7</v>
      </c>
      <c r="F179">
        <v>2581219876</v>
      </c>
      <c r="G179" s="1" t="s">
        <v>141</v>
      </c>
      <c r="H179" s="1" t="s">
        <v>1259</v>
      </c>
      <c r="I179" s="1" t="s">
        <v>1087</v>
      </c>
      <c r="J179">
        <v>2120</v>
      </c>
      <c r="K179" s="1" t="str">
        <f>VLOOKUP(uslugi413[[#This Row],[ozn]],$A$2:$D$410,2,FALSE)</f>
        <v>elblaski</v>
      </c>
      <c r="L179" s="1">
        <f>IF(VLOOKUP(uslugi413[[#This Row],[ozn]],$A$2:$D$410,4,FALSE)="z",1,0)</f>
        <v>1</v>
      </c>
    </row>
    <row r="180" spans="1:12" x14ac:dyDescent="0.25">
      <c r="A180" s="5" t="s">
        <v>483</v>
      </c>
      <c r="B180" s="6" t="s">
        <v>484</v>
      </c>
      <c r="C180" s="6" t="s">
        <v>485</v>
      </c>
      <c r="D180" s="7" t="s">
        <v>7</v>
      </c>
      <c r="F180">
        <v>3470453173</v>
      </c>
      <c r="G180" s="1" t="s">
        <v>85</v>
      </c>
      <c r="H180" s="1" t="s">
        <v>1260</v>
      </c>
      <c r="I180" s="1" t="s">
        <v>1087</v>
      </c>
      <c r="J180">
        <v>1620</v>
      </c>
      <c r="K180" s="1" t="str">
        <f>VLOOKUP(uslugi413[[#This Row],[ozn]],$A$2:$D$410,2,FALSE)</f>
        <v>Chelm</v>
      </c>
      <c r="L180" s="1">
        <f>IF(VLOOKUP(uslugi413[[#This Row],[ozn]],$A$2:$D$410,4,FALSE)="z",1,0)</f>
        <v>0</v>
      </c>
    </row>
    <row r="181" spans="1:12" x14ac:dyDescent="0.25">
      <c r="A181" s="2" t="s">
        <v>486</v>
      </c>
      <c r="B181" s="3" t="s">
        <v>487</v>
      </c>
      <c r="C181" s="3" t="s">
        <v>488</v>
      </c>
      <c r="D181" s="4" t="s">
        <v>7</v>
      </c>
      <c r="F181">
        <v>4761158900</v>
      </c>
      <c r="G181" s="1" t="s">
        <v>294</v>
      </c>
      <c r="H181" s="1" t="s">
        <v>1261</v>
      </c>
      <c r="I181" s="1" t="s">
        <v>1081</v>
      </c>
      <c r="J181">
        <v>2080</v>
      </c>
      <c r="K181" s="1" t="str">
        <f>VLOOKUP(uslugi413[[#This Row],[ozn]],$A$2:$D$410,2,FALSE)</f>
        <v>kluczborski</v>
      </c>
      <c r="L181" s="1">
        <f>IF(VLOOKUP(uslugi413[[#This Row],[ozn]],$A$2:$D$410,4,FALSE)="z",1,0)</f>
        <v>1</v>
      </c>
    </row>
    <row r="182" spans="1:12" x14ac:dyDescent="0.25">
      <c r="A182" s="5" t="s">
        <v>489</v>
      </c>
      <c r="B182" s="6" t="s">
        <v>490</v>
      </c>
      <c r="C182" s="6" t="s">
        <v>490</v>
      </c>
      <c r="D182" s="7" t="s">
        <v>22</v>
      </c>
      <c r="F182">
        <v>1820566794</v>
      </c>
      <c r="G182" s="1" t="s">
        <v>604</v>
      </c>
      <c r="H182" s="1" t="s">
        <v>1262</v>
      </c>
      <c r="I182" s="1" t="s">
        <v>1087</v>
      </c>
      <c r="J182">
        <v>2658</v>
      </c>
      <c r="K182" s="1" t="str">
        <f>VLOOKUP(uslugi413[[#This Row],[ozn]],$A$2:$D$410,2,FALSE)</f>
        <v>pilski</v>
      </c>
      <c r="L182" s="1">
        <f>IF(VLOOKUP(uslugi413[[#This Row],[ozn]],$A$2:$D$410,4,FALSE)="z",1,0)</f>
        <v>1</v>
      </c>
    </row>
    <row r="183" spans="1:12" x14ac:dyDescent="0.25">
      <c r="A183" s="2" t="s">
        <v>491</v>
      </c>
      <c r="B183" s="3" t="s">
        <v>492</v>
      </c>
      <c r="C183" s="3" t="s">
        <v>493</v>
      </c>
      <c r="D183" s="4" t="s">
        <v>7</v>
      </c>
      <c r="F183">
        <v>4761158900</v>
      </c>
      <c r="G183" s="1" t="s">
        <v>294</v>
      </c>
      <c r="H183" s="1" t="s">
        <v>1263</v>
      </c>
      <c r="I183" s="1" t="s">
        <v>1087</v>
      </c>
      <c r="J183">
        <v>2582</v>
      </c>
      <c r="K183" s="1" t="str">
        <f>VLOOKUP(uslugi413[[#This Row],[ozn]],$A$2:$D$410,2,FALSE)</f>
        <v>kluczborski</v>
      </c>
      <c r="L183" s="1">
        <f>IF(VLOOKUP(uslugi413[[#This Row],[ozn]],$A$2:$D$410,4,FALSE)="z",1,0)</f>
        <v>1</v>
      </c>
    </row>
    <row r="184" spans="1:12" x14ac:dyDescent="0.25">
      <c r="A184" s="5" t="s">
        <v>494</v>
      </c>
      <c r="B184" s="6" t="s">
        <v>495</v>
      </c>
      <c r="C184" s="6" t="s">
        <v>496</v>
      </c>
      <c r="D184" s="7" t="s">
        <v>7</v>
      </c>
      <c r="F184">
        <v>1278408463</v>
      </c>
      <c r="G184" s="1" t="s">
        <v>312</v>
      </c>
      <c r="H184" s="1" t="s">
        <v>1264</v>
      </c>
      <c r="I184" s="1" t="s">
        <v>1087</v>
      </c>
      <c r="J184">
        <v>2852</v>
      </c>
      <c r="K184" s="1" t="str">
        <f>VLOOKUP(uslugi413[[#This Row],[ozn]],$A$2:$D$410,2,FALSE)</f>
        <v>Konin</v>
      </c>
      <c r="L184" s="1">
        <f>IF(VLOOKUP(uslugi413[[#This Row],[ozn]],$A$2:$D$410,4,FALSE)="z",1,0)</f>
        <v>0</v>
      </c>
    </row>
    <row r="185" spans="1:12" x14ac:dyDescent="0.25">
      <c r="A185" s="2" t="s">
        <v>497</v>
      </c>
      <c r="B185" s="3" t="s">
        <v>498</v>
      </c>
      <c r="C185" s="3" t="s">
        <v>499</v>
      </c>
      <c r="D185" s="4" t="s">
        <v>7</v>
      </c>
      <c r="F185">
        <v>5229945534</v>
      </c>
      <c r="G185" s="1" t="s">
        <v>248</v>
      </c>
      <c r="H185" s="1" t="s">
        <v>1265</v>
      </c>
      <c r="I185" s="1" t="s">
        <v>1081</v>
      </c>
      <c r="J185">
        <v>1968</v>
      </c>
      <c r="K185" s="1" t="str">
        <f>VLOOKUP(uslugi413[[#This Row],[ozn]],$A$2:$D$410,2,FALSE)</f>
        <v>Jaworzno</v>
      </c>
      <c r="L185" s="1">
        <f>IF(VLOOKUP(uslugi413[[#This Row],[ozn]],$A$2:$D$410,4,FALSE)="z",1,0)</f>
        <v>0</v>
      </c>
    </row>
    <row r="186" spans="1:12" x14ac:dyDescent="0.25">
      <c r="A186" s="5" t="s">
        <v>500</v>
      </c>
      <c r="B186" s="6" t="s">
        <v>501</v>
      </c>
      <c r="C186" s="6" t="s">
        <v>502</v>
      </c>
      <c r="D186" s="7" t="s">
        <v>7</v>
      </c>
      <c r="F186">
        <v>3783578981</v>
      </c>
      <c r="G186" s="1" t="s">
        <v>405</v>
      </c>
      <c r="H186" s="1" t="s">
        <v>1266</v>
      </c>
      <c r="I186" s="1" t="s">
        <v>1081</v>
      </c>
      <c r="J186">
        <v>3160</v>
      </c>
      <c r="K186" s="1" t="str">
        <f>VLOOKUP(uslugi413[[#This Row],[ozn]],$A$2:$D$410,2,FALSE)</f>
        <v>Lodz</v>
      </c>
      <c r="L186" s="1">
        <f>IF(VLOOKUP(uslugi413[[#This Row],[ozn]],$A$2:$D$410,4,FALSE)="z",1,0)</f>
        <v>0</v>
      </c>
    </row>
    <row r="187" spans="1:12" x14ac:dyDescent="0.25">
      <c r="A187" s="2" t="s">
        <v>503</v>
      </c>
      <c r="B187" s="3" t="s">
        <v>504</v>
      </c>
      <c r="C187" s="3" t="s">
        <v>505</v>
      </c>
      <c r="D187" s="4" t="s">
        <v>7</v>
      </c>
      <c r="F187">
        <v>4458233905</v>
      </c>
      <c r="G187" s="1" t="s">
        <v>1003</v>
      </c>
      <c r="H187" s="1" t="s">
        <v>1267</v>
      </c>
      <c r="I187" s="1" t="s">
        <v>1087</v>
      </c>
      <c r="J187">
        <v>2022</v>
      </c>
      <c r="K187" s="1" t="str">
        <f>VLOOKUP(uslugi413[[#This Row],[ozn]],$A$2:$D$410,2,FALSE)</f>
        <v>Wroclaw</v>
      </c>
      <c r="L187" s="1">
        <f>IF(VLOOKUP(uslugi413[[#This Row],[ozn]],$A$2:$D$410,4,FALSE)="z",1,0)</f>
        <v>0</v>
      </c>
    </row>
    <row r="188" spans="1:12" x14ac:dyDescent="0.25">
      <c r="A188" s="5" t="s">
        <v>506</v>
      </c>
      <c r="B188" s="6" t="s">
        <v>507</v>
      </c>
      <c r="C188" s="6" t="s">
        <v>508</v>
      </c>
      <c r="D188" s="7" t="s">
        <v>7</v>
      </c>
      <c r="F188">
        <v>1871447797</v>
      </c>
      <c r="G188" s="1" t="s">
        <v>248</v>
      </c>
      <c r="H188" s="1" t="s">
        <v>1268</v>
      </c>
      <c r="I188" s="1" t="s">
        <v>1081</v>
      </c>
      <c r="J188">
        <v>2350</v>
      </c>
      <c r="K188" s="1" t="str">
        <f>VLOOKUP(uslugi413[[#This Row],[ozn]],$A$2:$D$410,2,FALSE)</f>
        <v>Jaworzno</v>
      </c>
      <c r="L188" s="1">
        <f>IF(VLOOKUP(uslugi413[[#This Row],[ozn]],$A$2:$D$410,4,FALSE)="z",1,0)</f>
        <v>0</v>
      </c>
    </row>
    <row r="189" spans="1:12" x14ac:dyDescent="0.25">
      <c r="A189" s="2" t="s">
        <v>509</v>
      </c>
      <c r="B189" s="3" t="s">
        <v>507</v>
      </c>
      <c r="C189" s="3" t="s">
        <v>510</v>
      </c>
      <c r="D189" s="4" t="s">
        <v>7</v>
      </c>
      <c r="F189">
        <v>4761158900</v>
      </c>
      <c r="G189" s="1" t="s">
        <v>294</v>
      </c>
      <c r="H189" s="1" t="s">
        <v>1269</v>
      </c>
      <c r="I189" s="1" t="s">
        <v>1087</v>
      </c>
      <c r="J189">
        <v>2468</v>
      </c>
      <c r="K189" s="1" t="str">
        <f>VLOOKUP(uslugi413[[#This Row],[ozn]],$A$2:$D$410,2,FALSE)</f>
        <v>kluczborski</v>
      </c>
      <c r="L189" s="1">
        <f>IF(VLOOKUP(uslugi413[[#This Row],[ozn]],$A$2:$D$410,4,FALSE)="z",1,0)</f>
        <v>1</v>
      </c>
    </row>
    <row r="190" spans="1:12" x14ac:dyDescent="0.25">
      <c r="A190" s="5" t="s">
        <v>511</v>
      </c>
      <c r="B190" s="6" t="s">
        <v>512</v>
      </c>
      <c r="C190" s="6" t="s">
        <v>513</v>
      </c>
      <c r="D190" s="7" t="s">
        <v>7</v>
      </c>
      <c r="F190">
        <v>2581219876</v>
      </c>
      <c r="G190" s="1" t="s">
        <v>141</v>
      </c>
      <c r="H190" s="1" t="s">
        <v>1270</v>
      </c>
      <c r="I190" s="1" t="s">
        <v>1081</v>
      </c>
      <c r="J190">
        <v>2610</v>
      </c>
      <c r="K190" s="1" t="str">
        <f>VLOOKUP(uslugi413[[#This Row],[ozn]],$A$2:$D$410,2,FALSE)</f>
        <v>elblaski</v>
      </c>
      <c r="L190" s="1">
        <f>IF(VLOOKUP(uslugi413[[#This Row],[ozn]],$A$2:$D$410,4,FALSE)="z",1,0)</f>
        <v>1</v>
      </c>
    </row>
    <row r="191" spans="1:12" x14ac:dyDescent="0.25">
      <c r="A191" s="2" t="s">
        <v>514</v>
      </c>
      <c r="B191" s="3" t="s">
        <v>515</v>
      </c>
      <c r="C191" s="3" t="s">
        <v>516</v>
      </c>
      <c r="D191" s="4" t="s">
        <v>7</v>
      </c>
      <c r="F191">
        <v>4580185570</v>
      </c>
      <c r="G191" s="1" t="s">
        <v>248</v>
      </c>
      <c r="H191" s="1" t="s">
        <v>1271</v>
      </c>
      <c r="I191" s="1" t="s">
        <v>1087</v>
      </c>
      <c r="J191">
        <v>3204</v>
      </c>
      <c r="K191" s="1" t="str">
        <f>VLOOKUP(uslugi413[[#This Row],[ozn]],$A$2:$D$410,2,FALSE)</f>
        <v>Jaworzno</v>
      </c>
      <c r="L191" s="1">
        <f>IF(VLOOKUP(uslugi413[[#This Row],[ozn]],$A$2:$D$410,4,FALSE)="z",1,0)</f>
        <v>0</v>
      </c>
    </row>
    <row r="192" spans="1:12" x14ac:dyDescent="0.25">
      <c r="A192" s="5" t="s">
        <v>517</v>
      </c>
      <c r="B192" s="6" t="s">
        <v>518</v>
      </c>
      <c r="C192" s="6" t="s">
        <v>519</v>
      </c>
      <c r="D192" s="7" t="s">
        <v>7</v>
      </c>
      <c r="F192">
        <v>1599095267</v>
      </c>
      <c r="G192" s="1" t="s">
        <v>248</v>
      </c>
      <c r="H192" s="1" t="s">
        <v>1272</v>
      </c>
      <c r="I192" s="1" t="s">
        <v>1087</v>
      </c>
      <c r="J192">
        <v>2516</v>
      </c>
      <c r="K192" s="1" t="str">
        <f>VLOOKUP(uslugi413[[#This Row],[ozn]],$A$2:$D$410,2,FALSE)</f>
        <v>Jaworzno</v>
      </c>
      <c r="L192" s="1">
        <f>IF(VLOOKUP(uslugi413[[#This Row],[ozn]],$A$2:$D$410,4,FALSE)="z",1,0)</f>
        <v>0</v>
      </c>
    </row>
    <row r="193" spans="1:12" x14ac:dyDescent="0.25">
      <c r="A193" s="2" t="s">
        <v>520</v>
      </c>
      <c r="B193" s="3" t="s">
        <v>521</v>
      </c>
      <c r="C193" s="3" t="s">
        <v>522</v>
      </c>
      <c r="D193" s="4" t="s">
        <v>7</v>
      </c>
      <c r="F193">
        <v>3357631311</v>
      </c>
      <c r="G193" s="1" t="s">
        <v>1030</v>
      </c>
      <c r="H193" s="1" t="s">
        <v>1273</v>
      </c>
      <c r="I193" s="1" t="s">
        <v>1087</v>
      </c>
      <c r="J193">
        <v>1792</v>
      </c>
      <c r="K193" s="1" t="str">
        <f>VLOOKUP(uslugi413[[#This Row],[ozn]],$A$2:$D$410,2,FALSE)</f>
        <v>zamojski</v>
      </c>
      <c r="L193" s="1">
        <f>IF(VLOOKUP(uslugi413[[#This Row],[ozn]],$A$2:$D$410,4,FALSE)="z",1,0)</f>
        <v>1</v>
      </c>
    </row>
    <row r="194" spans="1:12" x14ac:dyDescent="0.25">
      <c r="A194" s="5" t="s">
        <v>523</v>
      </c>
      <c r="B194" s="6" t="s">
        <v>524</v>
      </c>
      <c r="C194" s="6" t="s">
        <v>525</v>
      </c>
      <c r="D194" s="7" t="s">
        <v>7</v>
      </c>
      <c r="F194">
        <v>4241680809</v>
      </c>
      <c r="G194" s="1" t="s">
        <v>777</v>
      </c>
      <c r="H194" s="1" t="s">
        <v>1274</v>
      </c>
      <c r="I194" s="1" t="s">
        <v>1081</v>
      </c>
      <c r="J194">
        <v>2885</v>
      </c>
      <c r="K194" s="1" t="str">
        <f>VLOOKUP(uslugi413[[#This Row],[ozn]],$A$2:$D$410,2,FALSE)</f>
        <v>Sosnowiec</v>
      </c>
      <c r="L194" s="1">
        <f>IF(VLOOKUP(uslugi413[[#This Row],[ozn]],$A$2:$D$410,4,FALSE)="z",1,0)</f>
        <v>0</v>
      </c>
    </row>
    <row r="195" spans="1:12" x14ac:dyDescent="0.25">
      <c r="A195" s="2" t="s">
        <v>526</v>
      </c>
      <c r="B195" s="3" t="s">
        <v>516</v>
      </c>
      <c r="C195" s="3" t="s">
        <v>516</v>
      </c>
      <c r="D195" s="4" t="s">
        <v>22</v>
      </c>
      <c r="F195">
        <v>2281651150</v>
      </c>
      <c r="G195" s="1" t="s">
        <v>552</v>
      </c>
      <c r="H195" s="1" t="s">
        <v>1275</v>
      </c>
      <c r="I195" s="1" t="s">
        <v>1087</v>
      </c>
      <c r="J195">
        <v>2550</v>
      </c>
      <c r="K195" s="1" t="str">
        <f>VLOOKUP(uslugi413[[#This Row],[ozn]],$A$2:$D$410,2,FALSE)</f>
        <v>olsztynski</v>
      </c>
      <c r="L195" s="1">
        <f>IF(VLOOKUP(uslugi413[[#This Row],[ozn]],$A$2:$D$410,4,FALSE)="z",1,0)</f>
        <v>1</v>
      </c>
    </row>
    <row r="196" spans="1:12" x14ac:dyDescent="0.25">
      <c r="A196" s="5" t="s">
        <v>527</v>
      </c>
      <c r="B196" s="6" t="s">
        <v>528</v>
      </c>
      <c r="C196" s="6" t="s">
        <v>529</v>
      </c>
      <c r="D196" s="7" t="s">
        <v>7</v>
      </c>
      <c r="F196">
        <v>4779174699</v>
      </c>
      <c r="G196" s="1" t="s">
        <v>1003</v>
      </c>
      <c r="H196" s="1" t="s">
        <v>1276</v>
      </c>
      <c r="I196" s="1" t="s">
        <v>1081</v>
      </c>
      <c r="J196">
        <v>2362</v>
      </c>
      <c r="K196" s="1" t="str">
        <f>VLOOKUP(uslugi413[[#This Row],[ozn]],$A$2:$D$410,2,FALSE)</f>
        <v>Wroclaw</v>
      </c>
      <c r="L196" s="1">
        <f>IF(VLOOKUP(uslugi413[[#This Row],[ozn]],$A$2:$D$410,4,FALSE)="z",1,0)</f>
        <v>0</v>
      </c>
    </row>
    <row r="197" spans="1:12" x14ac:dyDescent="0.25">
      <c r="A197" s="2" t="s">
        <v>530</v>
      </c>
      <c r="B197" s="3" t="s">
        <v>531</v>
      </c>
      <c r="C197" s="3" t="s">
        <v>532</v>
      </c>
      <c r="D197" s="4" t="s">
        <v>7</v>
      </c>
      <c r="F197">
        <v>5624201652</v>
      </c>
      <c r="G197" s="1" t="s">
        <v>864</v>
      </c>
      <c r="H197" s="1" t="s">
        <v>1277</v>
      </c>
      <c r="I197" s="1" t="s">
        <v>1081</v>
      </c>
      <c r="J197">
        <v>3216</v>
      </c>
      <c r="K197" s="1" t="str">
        <f>VLOOKUP(uslugi413[[#This Row],[ozn]],$A$2:$D$410,2,FALSE)</f>
        <v>tarnogorski</v>
      </c>
      <c r="L197" s="1">
        <f>IF(VLOOKUP(uslugi413[[#This Row],[ozn]],$A$2:$D$410,4,FALSE)="z",1,0)</f>
        <v>1</v>
      </c>
    </row>
    <row r="198" spans="1:12" x14ac:dyDescent="0.25">
      <c r="A198" s="5" t="s">
        <v>533</v>
      </c>
      <c r="B198" s="6" t="s">
        <v>534</v>
      </c>
      <c r="C198" s="6" t="s">
        <v>535</v>
      </c>
      <c r="D198" s="7" t="s">
        <v>7</v>
      </c>
      <c r="F198">
        <v>3866883575</v>
      </c>
      <c r="G198" s="1" t="s">
        <v>434</v>
      </c>
      <c r="H198" s="1" t="s">
        <v>1278</v>
      </c>
      <c r="I198" s="1" t="s">
        <v>1087</v>
      </c>
      <c r="J198">
        <v>2034</v>
      </c>
      <c r="K198" s="1" t="str">
        <f>VLOOKUP(uslugi413[[#This Row],[ozn]],$A$2:$D$410,2,FALSE)</f>
        <v>Lublin</v>
      </c>
      <c r="L198" s="1">
        <f>IF(VLOOKUP(uslugi413[[#This Row],[ozn]],$A$2:$D$410,4,FALSE)="z",1,0)</f>
        <v>0</v>
      </c>
    </row>
    <row r="199" spans="1:12" x14ac:dyDescent="0.25">
      <c r="A199" s="2" t="s">
        <v>536</v>
      </c>
      <c r="B199" s="3" t="s">
        <v>537</v>
      </c>
      <c r="C199" s="3" t="s">
        <v>538</v>
      </c>
      <c r="D199" s="4" t="s">
        <v>7</v>
      </c>
      <c r="F199">
        <v>4796841112</v>
      </c>
      <c r="G199" s="1" t="s">
        <v>533</v>
      </c>
      <c r="H199" s="1" t="s">
        <v>1279</v>
      </c>
      <c r="I199" s="1" t="s">
        <v>1087</v>
      </c>
      <c r="J199">
        <v>1885</v>
      </c>
      <c r="K199" s="1" t="str">
        <f>VLOOKUP(uslugi413[[#This Row],[ozn]],$A$2:$D$410,2,FALSE)</f>
        <v>olawski</v>
      </c>
      <c r="L199" s="1">
        <f>IF(VLOOKUP(uslugi413[[#This Row],[ozn]],$A$2:$D$410,4,FALSE)="z",1,0)</f>
        <v>1</v>
      </c>
    </row>
    <row r="200" spans="1:12" x14ac:dyDescent="0.25">
      <c r="A200" s="5" t="s">
        <v>539</v>
      </c>
      <c r="B200" s="6" t="s">
        <v>540</v>
      </c>
      <c r="C200" s="6" t="s">
        <v>538</v>
      </c>
      <c r="D200" s="7" t="s">
        <v>7</v>
      </c>
      <c r="F200">
        <v>5341884086</v>
      </c>
      <c r="G200" s="1" t="s">
        <v>777</v>
      </c>
      <c r="H200" s="1" t="s">
        <v>1280</v>
      </c>
      <c r="I200" s="1" t="s">
        <v>1087</v>
      </c>
      <c r="J200">
        <v>2490</v>
      </c>
      <c r="K200" s="1" t="str">
        <f>VLOOKUP(uslugi413[[#This Row],[ozn]],$A$2:$D$410,2,FALSE)</f>
        <v>Sosnowiec</v>
      </c>
      <c r="L200" s="1">
        <f>IF(VLOOKUP(uslugi413[[#This Row],[ozn]],$A$2:$D$410,4,FALSE)="z",1,0)</f>
        <v>0</v>
      </c>
    </row>
    <row r="201" spans="1:12" x14ac:dyDescent="0.25">
      <c r="A201" s="2" t="s">
        <v>541</v>
      </c>
      <c r="B201" s="3" t="s">
        <v>542</v>
      </c>
      <c r="C201" s="3" t="s">
        <v>543</v>
      </c>
      <c r="D201" s="4" t="s">
        <v>7</v>
      </c>
      <c r="F201">
        <v>4779174699</v>
      </c>
      <c r="G201" s="1" t="s">
        <v>1003</v>
      </c>
      <c r="H201" s="1" t="s">
        <v>1281</v>
      </c>
      <c r="I201" s="1" t="s">
        <v>1081</v>
      </c>
      <c r="J201">
        <v>2580</v>
      </c>
      <c r="K201" s="1" t="str">
        <f>VLOOKUP(uslugi413[[#This Row],[ozn]],$A$2:$D$410,2,FALSE)</f>
        <v>Wroclaw</v>
      </c>
      <c r="L201" s="1">
        <f>IF(VLOOKUP(uslugi413[[#This Row],[ozn]],$A$2:$D$410,4,FALSE)="z",1,0)</f>
        <v>0</v>
      </c>
    </row>
    <row r="202" spans="1:12" x14ac:dyDescent="0.25">
      <c r="A202" s="5" t="s">
        <v>544</v>
      </c>
      <c r="B202" s="6" t="s">
        <v>545</v>
      </c>
      <c r="C202" s="6" t="s">
        <v>546</v>
      </c>
      <c r="D202" s="7" t="s">
        <v>7</v>
      </c>
      <c r="F202">
        <v>5514533376</v>
      </c>
      <c r="G202" s="1" t="s">
        <v>40</v>
      </c>
      <c r="H202" s="1" t="s">
        <v>1282</v>
      </c>
      <c r="I202" s="1" t="s">
        <v>1081</v>
      </c>
      <c r="J202">
        <v>2634</v>
      </c>
      <c r="K202" s="1" t="str">
        <f>VLOOKUP(uslugi413[[#This Row],[ozn]],$A$2:$D$410,2,FALSE)</f>
        <v>Bielsko-Biala</v>
      </c>
      <c r="L202" s="1">
        <f>IF(VLOOKUP(uslugi413[[#This Row],[ozn]],$A$2:$D$410,4,FALSE)="z",1,0)</f>
        <v>0</v>
      </c>
    </row>
    <row r="203" spans="1:12" x14ac:dyDescent="0.25">
      <c r="A203" s="2" t="s">
        <v>547</v>
      </c>
      <c r="B203" s="3" t="s">
        <v>548</v>
      </c>
      <c r="C203" s="3" t="s">
        <v>549</v>
      </c>
      <c r="D203" s="4" t="s">
        <v>7</v>
      </c>
      <c r="F203">
        <v>3470453173</v>
      </c>
      <c r="G203" s="1" t="s">
        <v>85</v>
      </c>
      <c r="H203" s="1" t="s">
        <v>1283</v>
      </c>
      <c r="I203" s="1" t="s">
        <v>1087</v>
      </c>
      <c r="J203">
        <v>2584</v>
      </c>
      <c r="K203" s="1" t="str">
        <f>VLOOKUP(uslugi413[[#This Row],[ozn]],$A$2:$D$410,2,FALSE)</f>
        <v>Chelm</v>
      </c>
      <c r="L203" s="1">
        <f>IF(VLOOKUP(uslugi413[[#This Row],[ozn]],$A$2:$D$410,4,FALSE)="z",1,0)</f>
        <v>0</v>
      </c>
    </row>
    <row r="204" spans="1:12" x14ac:dyDescent="0.25">
      <c r="A204" s="5" t="s">
        <v>550</v>
      </c>
      <c r="B204" s="6" t="s">
        <v>551</v>
      </c>
      <c r="C204" s="6" t="s">
        <v>551</v>
      </c>
      <c r="D204" s="7" t="s">
        <v>22</v>
      </c>
      <c r="F204">
        <v>4796841112</v>
      </c>
      <c r="G204" s="1" t="s">
        <v>533</v>
      </c>
      <c r="H204" s="1" t="s">
        <v>1284</v>
      </c>
      <c r="I204" s="1" t="s">
        <v>1081</v>
      </c>
      <c r="J204">
        <v>2576</v>
      </c>
      <c r="K204" s="1" t="str">
        <f>VLOOKUP(uslugi413[[#This Row],[ozn]],$A$2:$D$410,2,FALSE)</f>
        <v>olawski</v>
      </c>
      <c r="L204" s="1">
        <f>IF(VLOOKUP(uslugi413[[#This Row],[ozn]],$A$2:$D$410,4,FALSE)="z",1,0)</f>
        <v>1</v>
      </c>
    </row>
    <row r="205" spans="1:12" x14ac:dyDescent="0.25">
      <c r="A205" s="2" t="s">
        <v>552</v>
      </c>
      <c r="B205" s="3" t="s">
        <v>553</v>
      </c>
      <c r="C205" s="3" t="s">
        <v>551</v>
      </c>
      <c r="D205" s="4" t="s">
        <v>7</v>
      </c>
      <c r="F205">
        <v>5266741491</v>
      </c>
      <c r="G205" s="1" t="s">
        <v>777</v>
      </c>
      <c r="H205" s="1" t="s">
        <v>1285</v>
      </c>
      <c r="I205" s="1" t="s">
        <v>1087</v>
      </c>
      <c r="J205">
        <v>1946</v>
      </c>
      <c r="K205" s="1" t="str">
        <f>VLOOKUP(uslugi413[[#This Row],[ozn]],$A$2:$D$410,2,FALSE)</f>
        <v>Sosnowiec</v>
      </c>
      <c r="L205" s="1">
        <f>IF(VLOOKUP(uslugi413[[#This Row],[ozn]],$A$2:$D$410,4,FALSE)="z",1,0)</f>
        <v>0</v>
      </c>
    </row>
    <row r="206" spans="1:12" x14ac:dyDescent="0.25">
      <c r="A206" s="5" t="s">
        <v>554</v>
      </c>
      <c r="B206" s="6" t="s">
        <v>555</v>
      </c>
      <c r="C206" s="6" t="s">
        <v>556</v>
      </c>
      <c r="D206" s="7" t="s">
        <v>7</v>
      </c>
      <c r="F206">
        <v>4715154852</v>
      </c>
      <c r="G206" s="1" t="s">
        <v>1003</v>
      </c>
      <c r="H206" s="1" t="s">
        <v>1286</v>
      </c>
      <c r="I206" s="1" t="s">
        <v>1081</v>
      </c>
      <c r="J206">
        <v>2880</v>
      </c>
      <c r="K206" s="1" t="str">
        <f>VLOOKUP(uslugi413[[#This Row],[ozn]],$A$2:$D$410,2,FALSE)</f>
        <v>Wroclaw</v>
      </c>
      <c r="L206" s="1">
        <f>IF(VLOOKUP(uslugi413[[#This Row],[ozn]],$A$2:$D$410,4,FALSE)="z",1,0)</f>
        <v>0</v>
      </c>
    </row>
    <row r="207" spans="1:12" x14ac:dyDescent="0.25">
      <c r="A207" s="2" t="s">
        <v>557</v>
      </c>
      <c r="B207" s="3" t="s">
        <v>558</v>
      </c>
      <c r="C207" s="3" t="s">
        <v>559</v>
      </c>
      <c r="D207" s="4" t="s">
        <v>7</v>
      </c>
      <c r="F207">
        <v>5418968184</v>
      </c>
      <c r="G207" s="1" t="s">
        <v>777</v>
      </c>
      <c r="H207" s="1" t="s">
        <v>1287</v>
      </c>
      <c r="I207" s="1" t="s">
        <v>1081</v>
      </c>
      <c r="J207">
        <v>2630</v>
      </c>
      <c r="K207" s="1" t="str">
        <f>VLOOKUP(uslugi413[[#This Row],[ozn]],$A$2:$D$410,2,FALSE)</f>
        <v>Sosnowiec</v>
      </c>
      <c r="L207" s="1">
        <f>IF(VLOOKUP(uslugi413[[#This Row],[ozn]],$A$2:$D$410,4,FALSE)="z",1,0)</f>
        <v>0</v>
      </c>
    </row>
    <row r="208" spans="1:12" x14ac:dyDescent="0.25">
      <c r="A208" s="5" t="s">
        <v>560</v>
      </c>
      <c r="B208" s="6" t="s">
        <v>561</v>
      </c>
      <c r="C208" s="6" t="s">
        <v>561</v>
      </c>
      <c r="D208" s="7" t="s">
        <v>22</v>
      </c>
      <c r="F208">
        <v>1599095267</v>
      </c>
      <c r="G208" s="1" t="s">
        <v>777</v>
      </c>
      <c r="H208" s="1" t="s">
        <v>1288</v>
      </c>
      <c r="I208" s="1" t="s">
        <v>1087</v>
      </c>
      <c r="J208">
        <v>2112</v>
      </c>
      <c r="K208" s="1" t="str">
        <f>VLOOKUP(uslugi413[[#This Row],[ozn]],$A$2:$D$410,2,FALSE)</f>
        <v>Sosnowiec</v>
      </c>
      <c r="L208" s="1">
        <f>IF(VLOOKUP(uslugi413[[#This Row],[ozn]],$A$2:$D$410,4,FALSE)="z",1,0)</f>
        <v>0</v>
      </c>
    </row>
    <row r="209" spans="1:12" x14ac:dyDescent="0.25">
      <c r="A209" s="2" t="s">
        <v>562</v>
      </c>
      <c r="B209" s="3" t="s">
        <v>563</v>
      </c>
      <c r="C209" s="3" t="s">
        <v>561</v>
      </c>
      <c r="D209" s="4" t="s">
        <v>7</v>
      </c>
      <c r="F209">
        <v>1433397952</v>
      </c>
      <c r="G209" s="1" t="s">
        <v>314</v>
      </c>
      <c r="H209" s="1" t="s">
        <v>1289</v>
      </c>
      <c r="I209" s="1" t="s">
        <v>1081</v>
      </c>
      <c r="J209">
        <v>2928</v>
      </c>
      <c r="K209" s="1" t="str">
        <f>VLOOKUP(uslugi413[[#This Row],[ozn]],$A$2:$D$410,2,FALSE)</f>
        <v>Konin</v>
      </c>
      <c r="L209" s="1">
        <f>IF(VLOOKUP(uslugi413[[#This Row],[ozn]],$A$2:$D$410,4,FALSE)="z",1,0)</f>
        <v>0</v>
      </c>
    </row>
    <row r="210" spans="1:12" x14ac:dyDescent="0.25">
      <c r="A210" s="5" t="s">
        <v>564</v>
      </c>
      <c r="B210" s="6" t="s">
        <v>563</v>
      </c>
      <c r="C210" s="6" t="s">
        <v>565</v>
      </c>
      <c r="D210" s="7" t="s">
        <v>7</v>
      </c>
      <c r="F210">
        <v>2281651150</v>
      </c>
      <c r="G210" s="1" t="s">
        <v>552</v>
      </c>
      <c r="H210" s="1" t="s">
        <v>1290</v>
      </c>
      <c r="I210" s="1" t="s">
        <v>1087</v>
      </c>
      <c r="J210">
        <v>2295</v>
      </c>
      <c r="K210" s="1" t="str">
        <f>VLOOKUP(uslugi413[[#This Row],[ozn]],$A$2:$D$410,2,FALSE)</f>
        <v>olsztynski</v>
      </c>
      <c r="L210" s="1">
        <f>IF(VLOOKUP(uslugi413[[#This Row],[ozn]],$A$2:$D$410,4,FALSE)="z",1,0)</f>
        <v>1</v>
      </c>
    </row>
    <row r="211" spans="1:12" x14ac:dyDescent="0.25">
      <c r="A211" s="2" t="s">
        <v>566</v>
      </c>
      <c r="B211" s="3" t="s">
        <v>567</v>
      </c>
      <c r="C211" s="3" t="s">
        <v>568</v>
      </c>
      <c r="D211" s="4" t="s">
        <v>7</v>
      </c>
      <c r="F211">
        <v>5341884086</v>
      </c>
      <c r="G211" s="1" t="s">
        <v>777</v>
      </c>
      <c r="H211" s="1" t="s">
        <v>1291</v>
      </c>
      <c r="I211" s="1" t="s">
        <v>1081</v>
      </c>
      <c r="J211">
        <v>2556</v>
      </c>
      <c r="K211" s="1" t="str">
        <f>VLOOKUP(uslugi413[[#This Row],[ozn]],$A$2:$D$410,2,FALSE)</f>
        <v>Sosnowiec</v>
      </c>
      <c r="L211" s="1">
        <f>IF(VLOOKUP(uslugi413[[#This Row],[ozn]],$A$2:$D$410,4,FALSE)="z",1,0)</f>
        <v>0</v>
      </c>
    </row>
    <row r="212" spans="1:12" x14ac:dyDescent="0.25">
      <c r="A212" s="5" t="s">
        <v>569</v>
      </c>
      <c r="B212" s="6" t="s">
        <v>570</v>
      </c>
      <c r="C212" s="6" t="s">
        <v>571</v>
      </c>
      <c r="D212" s="7" t="s">
        <v>7</v>
      </c>
      <c r="F212">
        <v>3568004264</v>
      </c>
      <c r="G212" s="1" t="s">
        <v>428</v>
      </c>
      <c r="H212" s="1" t="s">
        <v>1292</v>
      </c>
      <c r="I212" s="1" t="s">
        <v>1081</v>
      </c>
      <c r="J212">
        <v>2568</v>
      </c>
      <c r="K212" s="1" t="str">
        <f>VLOOKUP(uslugi413[[#This Row],[ozn]],$A$2:$D$410,2,FALSE)</f>
        <v>lubelski</v>
      </c>
      <c r="L212" s="1">
        <f>IF(VLOOKUP(uslugi413[[#This Row],[ozn]],$A$2:$D$410,4,FALSE)="z",1,0)</f>
        <v>1</v>
      </c>
    </row>
    <row r="213" spans="1:12" x14ac:dyDescent="0.25">
      <c r="A213" s="2" t="s">
        <v>572</v>
      </c>
      <c r="B213" s="3" t="s">
        <v>571</v>
      </c>
      <c r="C213" s="3" t="s">
        <v>571</v>
      </c>
      <c r="D213" s="4" t="s">
        <v>22</v>
      </c>
      <c r="F213">
        <v>5185759244</v>
      </c>
      <c r="G213" s="1" t="s">
        <v>777</v>
      </c>
      <c r="H213" s="1" t="s">
        <v>1293</v>
      </c>
      <c r="I213" s="1" t="s">
        <v>1081</v>
      </c>
      <c r="J213">
        <v>2674</v>
      </c>
      <c r="K213" s="1" t="str">
        <f>VLOOKUP(uslugi413[[#This Row],[ozn]],$A$2:$D$410,2,FALSE)</f>
        <v>Sosnowiec</v>
      </c>
      <c r="L213" s="1">
        <f>IF(VLOOKUP(uslugi413[[#This Row],[ozn]],$A$2:$D$410,4,FALSE)="z",1,0)</f>
        <v>0</v>
      </c>
    </row>
    <row r="214" spans="1:12" x14ac:dyDescent="0.25">
      <c r="A214" s="5" t="s">
        <v>573</v>
      </c>
      <c r="B214" s="6" t="s">
        <v>574</v>
      </c>
      <c r="C214" s="6" t="s">
        <v>575</v>
      </c>
      <c r="D214" s="7" t="s">
        <v>7</v>
      </c>
      <c r="F214">
        <v>4326751508</v>
      </c>
      <c r="G214" s="1" t="s">
        <v>40</v>
      </c>
      <c r="H214" s="1" t="s">
        <v>1294</v>
      </c>
      <c r="I214" s="1" t="s">
        <v>1081</v>
      </c>
      <c r="J214">
        <v>3120</v>
      </c>
      <c r="K214" s="1" t="str">
        <f>VLOOKUP(uslugi413[[#This Row],[ozn]],$A$2:$D$410,2,FALSE)</f>
        <v>Bielsko-Biala</v>
      </c>
      <c r="L214" s="1">
        <f>IF(VLOOKUP(uslugi413[[#This Row],[ozn]],$A$2:$D$410,4,FALSE)="z",1,0)</f>
        <v>0</v>
      </c>
    </row>
    <row r="215" spans="1:12" x14ac:dyDescent="0.25">
      <c r="A215" s="2" t="s">
        <v>576</v>
      </c>
      <c r="B215" s="3" t="s">
        <v>577</v>
      </c>
      <c r="C215" s="3" t="s">
        <v>578</v>
      </c>
      <c r="D215" s="4" t="s">
        <v>7</v>
      </c>
      <c r="F215">
        <v>1433397952</v>
      </c>
      <c r="G215" s="1" t="s">
        <v>314</v>
      </c>
      <c r="H215" s="1" t="s">
        <v>1295</v>
      </c>
      <c r="I215" s="1" t="s">
        <v>1087</v>
      </c>
      <c r="J215">
        <v>1896</v>
      </c>
      <c r="K215" s="1" t="str">
        <f>VLOOKUP(uslugi413[[#This Row],[ozn]],$A$2:$D$410,2,FALSE)</f>
        <v>Konin</v>
      </c>
      <c r="L215" s="1">
        <f>IF(VLOOKUP(uslugi413[[#This Row],[ozn]],$A$2:$D$410,4,FALSE)="z",1,0)</f>
        <v>0</v>
      </c>
    </row>
    <row r="216" spans="1:12" x14ac:dyDescent="0.25">
      <c r="A216" s="5" t="s">
        <v>579</v>
      </c>
      <c r="B216" s="6" t="s">
        <v>577</v>
      </c>
      <c r="C216" s="6" t="s">
        <v>580</v>
      </c>
      <c r="D216" s="7" t="s">
        <v>7</v>
      </c>
      <c r="F216">
        <v>4779174699</v>
      </c>
      <c r="G216" s="1" t="s">
        <v>1003</v>
      </c>
      <c r="H216" s="1" t="s">
        <v>1296</v>
      </c>
      <c r="I216" s="1" t="s">
        <v>1087</v>
      </c>
      <c r="J216">
        <v>2608</v>
      </c>
      <c r="K216" s="1" t="str">
        <f>VLOOKUP(uslugi413[[#This Row],[ozn]],$A$2:$D$410,2,FALSE)</f>
        <v>Wroclaw</v>
      </c>
      <c r="L216" s="1">
        <f>IF(VLOOKUP(uslugi413[[#This Row],[ozn]],$A$2:$D$410,4,FALSE)="z",1,0)</f>
        <v>0</v>
      </c>
    </row>
    <row r="217" spans="1:12" x14ac:dyDescent="0.25">
      <c r="A217" s="2" t="s">
        <v>581</v>
      </c>
      <c r="B217" s="3" t="s">
        <v>582</v>
      </c>
      <c r="C217" s="3" t="s">
        <v>583</v>
      </c>
      <c r="D217" s="4" t="s">
        <v>7</v>
      </c>
      <c r="F217">
        <v>3678947206</v>
      </c>
      <c r="G217" s="1" t="s">
        <v>527</v>
      </c>
      <c r="H217" s="1" t="s">
        <v>1297</v>
      </c>
      <c r="I217" s="1" t="s">
        <v>1087</v>
      </c>
      <c r="J217">
        <v>2154</v>
      </c>
      <c r="K217" s="1" t="str">
        <f>VLOOKUP(uslugi413[[#This Row],[ozn]],$A$2:$D$410,2,FALSE)</f>
        <v>nyski</v>
      </c>
      <c r="L217" s="1">
        <f>IF(VLOOKUP(uslugi413[[#This Row],[ozn]],$A$2:$D$410,4,FALSE)="z",1,0)</f>
        <v>1</v>
      </c>
    </row>
    <row r="218" spans="1:12" x14ac:dyDescent="0.25">
      <c r="A218" s="5" t="s">
        <v>584</v>
      </c>
      <c r="B218" s="6" t="s">
        <v>585</v>
      </c>
      <c r="C218" s="6" t="s">
        <v>586</v>
      </c>
      <c r="D218" s="7" t="s">
        <v>7</v>
      </c>
      <c r="F218">
        <v>1939065269</v>
      </c>
      <c r="G218" s="1" t="s">
        <v>636</v>
      </c>
      <c r="H218" s="1" t="s">
        <v>1298</v>
      </c>
      <c r="I218" s="1" t="s">
        <v>1081</v>
      </c>
      <c r="J218">
        <v>2328</v>
      </c>
      <c r="K218" s="1" t="str">
        <f>VLOOKUP(uslugi413[[#This Row],[ozn]],$A$2:$D$410,2,FALSE)</f>
        <v>Poznan</v>
      </c>
      <c r="L218" s="1">
        <f>IF(VLOOKUP(uslugi413[[#This Row],[ozn]],$A$2:$D$410,4,FALSE)="z",1,0)</f>
        <v>0</v>
      </c>
    </row>
    <row r="219" spans="1:12" x14ac:dyDescent="0.25">
      <c r="A219" s="2" t="s">
        <v>587</v>
      </c>
      <c r="B219" s="3" t="s">
        <v>588</v>
      </c>
      <c r="C219" s="3" t="s">
        <v>589</v>
      </c>
      <c r="D219" s="4" t="s">
        <v>7</v>
      </c>
      <c r="F219">
        <v>5514533376</v>
      </c>
      <c r="G219" s="1" t="s">
        <v>255</v>
      </c>
      <c r="H219" s="1" t="s">
        <v>1299</v>
      </c>
      <c r="I219" s="1" t="s">
        <v>1081</v>
      </c>
      <c r="J219">
        <v>2548</v>
      </c>
      <c r="K219" s="1" t="str">
        <f>VLOOKUP(uslugi413[[#This Row],[ozn]],$A$2:$D$410,2,FALSE)</f>
        <v>jeleniogorski</v>
      </c>
      <c r="L219" s="1">
        <f>IF(VLOOKUP(uslugi413[[#This Row],[ozn]],$A$2:$D$410,4,FALSE)="z",1,0)</f>
        <v>1</v>
      </c>
    </row>
    <row r="220" spans="1:12" x14ac:dyDescent="0.25">
      <c r="A220" s="5" t="s">
        <v>590</v>
      </c>
      <c r="B220" s="6" t="s">
        <v>591</v>
      </c>
      <c r="C220" s="6" t="s">
        <v>592</v>
      </c>
      <c r="D220" s="7" t="s">
        <v>7</v>
      </c>
      <c r="F220">
        <v>5115061689</v>
      </c>
      <c r="G220" s="1" t="s">
        <v>704</v>
      </c>
      <c r="H220" s="1" t="s">
        <v>1300</v>
      </c>
      <c r="I220" s="1" t="s">
        <v>1087</v>
      </c>
      <c r="J220">
        <v>1902</v>
      </c>
      <c r="K220" s="1" t="str">
        <f>VLOOKUP(uslugi413[[#This Row],[ozn]],$A$2:$D$410,2,FALSE)</f>
        <v>Ruda Slaska</v>
      </c>
      <c r="L220" s="1">
        <f>IF(VLOOKUP(uslugi413[[#This Row],[ozn]],$A$2:$D$410,4,FALSE)="z",1,0)</f>
        <v>0</v>
      </c>
    </row>
    <row r="221" spans="1:12" x14ac:dyDescent="0.25">
      <c r="A221" s="2" t="s">
        <v>593</v>
      </c>
      <c r="B221" s="3" t="s">
        <v>594</v>
      </c>
      <c r="C221" s="3" t="s">
        <v>595</v>
      </c>
      <c r="D221" s="4" t="s">
        <v>7</v>
      </c>
      <c r="F221">
        <v>4326751508</v>
      </c>
      <c r="G221" s="1" t="s">
        <v>255</v>
      </c>
      <c r="H221" s="1" t="s">
        <v>1301</v>
      </c>
      <c r="I221" s="1" t="s">
        <v>1081</v>
      </c>
      <c r="J221">
        <v>2456</v>
      </c>
      <c r="K221" s="1" t="str">
        <f>VLOOKUP(uslugi413[[#This Row],[ozn]],$A$2:$D$410,2,FALSE)</f>
        <v>jeleniogorski</v>
      </c>
      <c r="L221" s="1">
        <f>IF(VLOOKUP(uslugi413[[#This Row],[ozn]],$A$2:$D$410,4,FALSE)="z",1,0)</f>
        <v>1</v>
      </c>
    </row>
    <row r="222" spans="1:12" x14ac:dyDescent="0.25">
      <c r="A222" s="5" t="s">
        <v>596</v>
      </c>
      <c r="B222" s="6" t="s">
        <v>597</v>
      </c>
      <c r="C222" s="6" t="s">
        <v>598</v>
      </c>
      <c r="D222" s="7" t="s">
        <v>7</v>
      </c>
      <c r="F222">
        <v>1278408463</v>
      </c>
      <c r="G222" s="1" t="s">
        <v>312</v>
      </c>
      <c r="H222" s="1" t="s">
        <v>1302</v>
      </c>
      <c r="I222" s="1" t="s">
        <v>1087</v>
      </c>
      <c r="J222">
        <v>2544</v>
      </c>
      <c r="K222" s="1" t="str">
        <f>VLOOKUP(uslugi413[[#This Row],[ozn]],$A$2:$D$410,2,FALSE)</f>
        <v>Konin</v>
      </c>
      <c r="L222" s="1">
        <f>IF(VLOOKUP(uslugi413[[#This Row],[ozn]],$A$2:$D$410,4,FALSE)="z",1,0)</f>
        <v>0</v>
      </c>
    </row>
    <row r="223" spans="1:12" x14ac:dyDescent="0.25">
      <c r="A223" s="2" t="s">
        <v>599</v>
      </c>
      <c r="B223" s="3" t="s">
        <v>600</v>
      </c>
      <c r="C223" s="3" t="s">
        <v>601</v>
      </c>
      <c r="D223" s="4" t="s">
        <v>7</v>
      </c>
      <c r="F223">
        <v>5528435390</v>
      </c>
      <c r="G223" s="1" t="s">
        <v>777</v>
      </c>
      <c r="H223" s="1" t="s">
        <v>1303</v>
      </c>
      <c r="I223" s="1" t="s">
        <v>1081</v>
      </c>
      <c r="J223">
        <v>3495</v>
      </c>
      <c r="K223" s="1" t="str">
        <f>VLOOKUP(uslugi413[[#This Row],[ozn]],$A$2:$D$410,2,FALSE)</f>
        <v>Sosnowiec</v>
      </c>
      <c r="L223" s="1">
        <f>IF(VLOOKUP(uslugi413[[#This Row],[ozn]],$A$2:$D$410,4,FALSE)="z",1,0)</f>
        <v>0</v>
      </c>
    </row>
    <row r="224" spans="1:12" x14ac:dyDescent="0.25">
      <c r="A224" s="5" t="s">
        <v>602</v>
      </c>
      <c r="B224" s="6" t="s">
        <v>603</v>
      </c>
      <c r="C224" s="6" t="s">
        <v>603</v>
      </c>
      <c r="D224" s="7" t="s">
        <v>22</v>
      </c>
      <c r="F224">
        <v>2138598159</v>
      </c>
      <c r="G224" s="1" t="s">
        <v>143</v>
      </c>
      <c r="H224" s="1" t="s">
        <v>1304</v>
      </c>
      <c r="I224" s="1" t="s">
        <v>1081</v>
      </c>
      <c r="J224">
        <v>2550</v>
      </c>
      <c r="K224" s="1" t="str">
        <f>VLOOKUP(uslugi413[[#This Row],[ozn]],$A$2:$D$410,2,FALSE)</f>
        <v>elcki</v>
      </c>
      <c r="L224" s="1">
        <f>IF(VLOOKUP(uslugi413[[#This Row],[ozn]],$A$2:$D$410,4,FALSE)="z",1,0)</f>
        <v>1</v>
      </c>
    </row>
    <row r="225" spans="1:12" x14ac:dyDescent="0.25">
      <c r="A225" s="2" t="s">
        <v>604</v>
      </c>
      <c r="B225" s="3" t="s">
        <v>605</v>
      </c>
      <c r="C225" s="3" t="s">
        <v>606</v>
      </c>
      <c r="D225" s="4" t="s">
        <v>7</v>
      </c>
      <c r="F225">
        <v>1599095267</v>
      </c>
      <c r="G225" s="1" t="s">
        <v>777</v>
      </c>
      <c r="H225" s="1" t="s">
        <v>1305</v>
      </c>
      <c r="I225" s="1" t="s">
        <v>1087</v>
      </c>
      <c r="J225">
        <v>2448</v>
      </c>
      <c r="K225" s="1" t="str">
        <f>VLOOKUP(uslugi413[[#This Row],[ozn]],$A$2:$D$410,2,FALSE)</f>
        <v>Sosnowiec</v>
      </c>
      <c r="L225" s="1">
        <f>IF(VLOOKUP(uslugi413[[#This Row],[ozn]],$A$2:$D$410,4,FALSE)="z",1,0)</f>
        <v>0</v>
      </c>
    </row>
    <row r="226" spans="1:12" x14ac:dyDescent="0.25">
      <c r="A226" s="5" t="s">
        <v>607</v>
      </c>
      <c r="B226" s="6" t="s">
        <v>608</v>
      </c>
      <c r="C226" s="6" t="s">
        <v>609</v>
      </c>
      <c r="D226" s="7" t="s">
        <v>7</v>
      </c>
      <c r="F226">
        <v>5341884086</v>
      </c>
      <c r="G226" s="1" t="s">
        <v>777</v>
      </c>
      <c r="H226" s="1" t="s">
        <v>1306</v>
      </c>
      <c r="I226" s="1" t="s">
        <v>1081</v>
      </c>
      <c r="J226">
        <v>3645</v>
      </c>
      <c r="K226" s="1" t="str">
        <f>VLOOKUP(uslugi413[[#This Row],[ozn]],$A$2:$D$410,2,FALSE)</f>
        <v>Sosnowiec</v>
      </c>
      <c r="L226" s="1">
        <f>IF(VLOOKUP(uslugi413[[#This Row],[ozn]],$A$2:$D$410,4,FALSE)="z",1,0)</f>
        <v>0</v>
      </c>
    </row>
    <row r="227" spans="1:12" x14ac:dyDescent="0.25">
      <c r="A227" s="2" t="s">
        <v>610</v>
      </c>
      <c r="B227" s="3" t="s">
        <v>611</v>
      </c>
      <c r="C227" s="3" t="s">
        <v>611</v>
      </c>
      <c r="D227" s="4" t="s">
        <v>22</v>
      </c>
      <c r="F227">
        <v>1433397952</v>
      </c>
      <c r="G227" s="1" t="s">
        <v>314</v>
      </c>
      <c r="H227" s="1" t="s">
        <v>1307</v>
      </c>
      <c r="I227" s="1" t="s">
        <v>1087</v>
      </c>
      <c r="J227">
        <v>2935</v>
      </c>
      <c r="K227" s="1" t="str">
        <f>VLOOKUP(uslugi413[[#This Row],[ozn]],$A$2:$D$410,2,FALSE)</f>
        <v>Konin</v>
      </c>
      <c r="L227" s="1">
        <f>IF(VLOOKUP(uslugi413[[#This Row],[ozn]],$A$2:$D$410,4,FALSE)="z",1,0)</f>
        <v>0</v>
      </c>
    </row>
    <row r="228" spans="1:12" x14ac:dyDescent="0.25">
      <c r="A228" s="5" t="s">
        <v>612</v>
      </c>
      <c r="B228" s="6" t="s">
        <v>613</v>
      </c>
      <c r="C228" s="6" t="s">
        <v>611</v>
      </c>
      <c r="D228" s="7" t="s">
        <v>7</v>
      </c>
      <c r="F228">
        <v>2138598159</v>
      </c>
      <c r="G228" s="1" t="s">
        <v>143</v>
      </c>
      <c r="H228" s="1" t="s">
        <v>1308</v>
      </c>
      <c r="I228" s="1" t="s">
        <v>1087</v>
      </c>
      <c r="J228">
        <v>2834</v>
      </c>
      <c r="K228" s="1" t="str">
        <f>VLOOKUP(uslugi413[[#This Row],[ozn]],$A$2:$D$410,2,FALSE)</f>
        <v>elcki</v>
      </c>
      <c r="L228" s="1">
        <f>IF(VLOOKUP(uslugi413[[#This Row],[ozn]],$A$2:$D$410,4,FALSE)="z",1,0)</f>
        <v>1</v>
      </c>
    </row>
    <row r="229" spans="1:12" x14ac:dyDescent="0.25">
      <c r="A229" s="2" t="s">
        <v>614</v>
      </c>
      <c r="B229" s="3" t="s">
        <v>615</v>
      </c>
      <c r="C229" s="3" t="s">
        <v>616</v>
      </c>
      <c r="D229" s="4" t="s">
        <v>7</v>
      </c>
      <c r="F229">
        <v>2625657803</v>
      </c>
      <c r="G229" s="1" t="s">
        <v>777</v>
      </c>
      <c r="H229" s="1" t="s">
        <v>1309</v>
      </c>
      <c r="I229" s="1" t="s">
        <v>1087</v>
      </c>
      <c r="J229">
        <v>1624</v>
      </c>
      <c r="K229" s="1" t="str">
        <f>VLOOKUP(uslugi413[[#This Row],[ozn]],$A$2:$D$410,2,FALSE)</f>
        <v>Sosnowiec</v>
      </c>
      <c r="L229" s="1">
        <f>IF(VLOOKUP(uslugi413[[#This Row],[ozn]],$A$2:$D$410,4,FALSE)="z",1,0)</f>
        <v>0</v>
      </c>
    </row>
    <row r="230" spans="1:12" x14ac:dyDescent="0.25">
      <c r="A230" s="5" t="s">
        <v>617</v>
      </c>
      <c r="B230" s="6" t="s">
        <v>618</v>
      </c>
      <c r="C230" s="6" t="s">
        <v>619</v>
      </c>
      <c r="D230" s="7" t="s">
        <v>7</v>
      </c>
      <c r="F230">
        <v>1939065269</v>
      </c>
      <c r="G230" s="1" t="s">
        <v>636</v>
      </c>
      <c r="H230" s="1" t="s">
        <v>1310</v>
      </c>
      <c r="I230" s="1" t="s">
        <v>1081</v>
      </c>
      <c r="J230">
        <v>2574</v>
      </c>
      <c r="K230" s="1" t="str">
        <f>VLOOKUP(uslugi413[[#This Row],[ozn]],$A$2:$D$410,2,FALSE)</f>
        <v>Poznan</v>
      </c>
      <c r="L230" s="1">
        <f>IF(VLOOKUP(uslugi413[[#This Row],[ozn]],$A$2:$D$410,4,FALSE)="z",1,0)</f>
        <v>0</v>
      </c>
    </row>
    <row r="231" spans="1:12" x14ac:dyDescent="0.25">
      <c r="A231" s="2" t="s">
        <v>620</v>
      </c>
      <c r="B231" s="3" t="s">
        <v>621</v>
      </c>
      <c r="C231" s="3" t="s">
        <v>621</v>
      </c>
      <c r="D231" s="4" t="s">
        <v>22</v>
      </c>
      <c r="F231">
        <v>4326751508</v>
      </c>
      <c r="G231" s="1" t="s">
        <v>255</v>
      </c>
      <c r="H231" s="1" t="s">
        <v>1311</v>
      </c>
      <c r="I231" s="1" t="s">
        <v>1087</v>
      </c>
      <c r="J231">
        <v>1806</v>
      </c>
      <c r="K231" s="1" t="str">
        <f>VLOOKUP(uslugi413[[#This Row],[ozn]],$A$2:$D$410,2,FALSE)</f>
        <v>jeleniogorski</v>
      </c>
      <c r="L231" s="1">
        <f>IF(VLOOKUP(uslugi413[[#This Row],[ozn]],$A$2:$D$410,4,FALSE)="z",1,0)</f>
        <v>1</v>
      </c>
    </row>
    <row r="232" spans="1:12" x14ac:dyDescent="0.25">
      <c r="A232" s="5" t="s">
        <v>622</v>
      </c>
      <c r="B232" s="6" t="s">
        <v>623</v>
      </c>
      <c r="C232" s="6" t="s">
        <v>621</v>
      </c>
      <c r="D232" s="7" t="s">
        <v>7</v>
      </c>
      <c r="F232">
        <v>2138598159</v>
      </c>
      <c r="G232" s="1" t="s">
        <v>143</v>
      </c>
      <c r="H232" s="1" t="s">
        <v>1312</v>
      </c>
      <c r="I232" s="1" t="s">
        <v>1087</v>
      </c>
      <c r="J232">
        <v>3204</v>
      </c>
      <c r="K232" s="1" t="str">
        <f>VLOOKUP(uslugi413[[#This Row],[ozn]],$A$2:$D$410,2,FALSE)</f>
        <v>elcki</v>
      </c>
      <c r="L232" s="1">
        <f>IF(VLOOKUP(uslugi413[[#This Row],[ozn]],$A$2:$D$410,4,FALSE)="z",1,0)</f>
        <v>1</v>
      </c>
    </row>
    <row r="233" spans="1:12" x14ac:dyDescent="0.25">
      <c r="A233" s="2" t="s">
        <v>624</v>
      </c>
      <c r="B233" s="3" t="s">
        <v>625</v>
      </c>
      <c r="C233" s="3" t="s">
        <v>626</v>
      </c>
      <c r="D233" s="4" t="s">
        <v>7</v>
      </c>
      <c r="F233">
        <v>4779174699</v>
      </c>
      <c r="G233" s="1" t="s">
        <v>1003</v>
      </c>
      <c r="H233" s="1" t="s">
        <v>1313</v>
      </c>
      <c r="I233" s="1" t="s">
        <v>1087</v>
      </c>
      <c r="J233">
        <v>1618</v>
      </c>
      <c r="K233" s="1" t="str">
        <f>VLOOKUP(uslugi413[[#This Row],[ozn]],$A$2:$D$410,2,FALSE)</f>
        <v>Wroclaw</v>
      </c>
      <c r="L233" s="1">
        <f>IF(VLOOKUP(uslugi413[[#This Row],[ozn]],$A$2:$D$410,4,FALSE)="z",1,0)</f>
        <v>0</v>
      </c>
    </row>
    <row r="234" spans="1:12" x14ac:dyDescent="0.25">
      <c r="A234" s="5" t="s">
        <v>627</v>
      </c>
      <c r="B234" s="6" t="s">
        <v>628</v>
      </c>
      <c r="C234" s="6" t="s">
        <v>629</v>
      </c>
      <c r="D234" s="7" t="s">
        <v>7</v>
      </c>
      <c r="F234">
        <v>3568004264</v>
      </c>
      <c r="G234" s="1" t="s">
        <v>428</v>
      </c>
      <c r="H234" s="1" t="s">
        <v>1314</v>
      </c>
      <c r="I234" s="1" t="s">
        <v>1087</v>
      </c>
      <c r="J234">
        <v>2720</v>
      </c>
      <c r="K234" s="1" t="str">
        <f>VLOOKUP(uslugi413[[#This Row],[ozn]],$A$2:$D$410,2,FALSE)</f>
        <v>lubelski</v>
      </c>
      <c r="L234" s="1">
        <f>IF(VLOOKUP(uslugi413[[#This Row],[ozn]],$A$2:$D$410,4,FALSE)="z",1,0)</f>
        <v>1</v>
      </c>
    </row>
    <row r="235" spans="1:12" x14ac:dyDescent="0.25">
      <c r="A235" s="2" t="s">
        <v>630</v>
      </c>
      <c r="B235" s="3" t="s">
        <v>631</v>
      </c>
      <c r="C235" s="3" t="s">
        <v>632</v>
      </c>
      <c r="D235" s="4" t="s">
        <v>7</v>
      </c>
      <c r="F235">
        <v>5115061689</v>
      </c>
      <c r="G235" s="1" t="s">
        <v>704</v>
      </c>
      <c r="H235" s="1" t="s">
        <v>1315</v>
      </c>
      <c r="I235" s="1" t="s">
        <v>1087</v>
      </c>
      <c r="J235">
        <v>3192</v>
      </c>
      <c r="K235" s="1" t="str">
        <f>VLOOKUP(uslugi413[[#This Row],[ozn]],$A$2:$D$410,2,FALSE)</f>
        <v>Ruda Slaska</v>
      </c>
      <c r="L235" s="1">
        <f>IF(VLOOKUP(uslugi413[[#This Row],[ozn]],$A$2:$D$410,4,FALSE)="z",1,0)</f>
        <v>0</v>
      </c>
    </row>
    <row r="236" spans="1:12" x14ac:dyDescent="0.25">
      <c r="A236" s="5" t="s">
        <v>633</v>
      </c>
      <c r="B236" s="6" t="s">
        <v>634</v>
      </c>
      <c r="C236" s="6" t="s">
        <v>635</v>
      </c>
      <c r="D236" s="7" t="s">
        <v>7</v>
      </c>
      <c r="F236">
        <v>1361555378</v>
      </c>
      <c r="G236" s="1" t="s">
        <v>1022</v>
      </c>
      <c r="H236" s="1" t="s">
        <v>1316</v>
      </c>
      <c r="I236" s="1" t="s">
        <v>1087</v>
      </c>
      <c r="J236">
        <v>2559</v>
      </c>
      <c r="K236" s="1" t="str">
        <f>VLOOKUP(uslugi413[[#This Row],[ozn]],$A$2:$D$410,2,FALSE)</f>
        <v>Zabrze</v>
      </c>
      <c r="L236" s="1">
        <f>IF(VLOOKUP(uslugi413[[#This Row],[ozn]],$A$2:$D$410,4,FALSE)="z",1,0)</f>
        <v>0</v>
      </c>
    </row>
    <row r="237" spans="1:12" x14ac:dyDescent="0.25">
      <c r="A237" s="2" t="s">
        <v>636</v>
      </c>
      <c r="B237" s="3" t="s">
        <v>637</v>
      </c>
      <c r="C237" s="3" t="s">
        <v>637</v>
      </c>
      <c r="D237" s="4" t="s">
        <v>22</v>
      </c>
      <c r="F237">
        <v>3866883575</v>
      </c>
      <c r="G237" s="1" t="s">
        <v>434</v>
      </c>
      <c r="H237" s="1" t="s">
        <v>1317</v>
      </c>
      <c r="I237" s="1" t="s">
        <v>1081</v>
      </c>
      <c r="J237">
        <v>2145</v>
      </c>
      <c r="K237" s="1" t="str">
        <f>VLOOKUP(uslugi413[[#This Row],[ozn]],$A$2:$D$410,2,FALSE)</f>
        <v>Lublin</v>
      </c>
      <c r="L237" s="1">
        <f>IF(VLOOKUP(uslugi413[[#This Row],[ozn]],$A$2:$D$410,4,FALSE)="z",1,0)</f>
        <v>0</v>
      </c>
    </row>
    <row r="238" spans="1:12" x14ac:dyDescent="0.25">
      <c r="A238" s="5" t="s">
        <v>638</v>
      </c>
      <c r="B238" s="6" t="s">
        <v>639</v>
      </c>
      <c r="C238" s="6" t="s">
        <v>637</v>
      </c>
      <c r="D238" s="7" t="s">
        <v>7</v>
      </c>
      <c r="F238">
        <v>4761158900</v>
      </c>
      <c r="G238" s="1" t="s">
        <v>294</v>
      </c>
      <c r="H238" s="1" t="s">
        <v>1318</v>
      </c>
      <c r="I238" s="1" t="s">
        <v>1081</v>
      </c>
      <c r="J238">
        <v>2674</v>
      </c>
      <c r="K238" s="1" t="str">
        <f>VLOOKUP(uslugi413[[#This Row],[ozn]],$A$2:$D$410,2,FALSE)</f>
        <v>kluczborski</v>
      </c>
      <c r="L238" s="1">
        <f>IF(VLOOKUP(uslugi413[[#This Row],[ozn]],$A$2:$D$410,4,FALSE)="z",1,0)</f>
        <v>1</v>
      </c>
    </row>
    <row r="239" spans="1:12" x14ac:dyDescent="0.25">
      <c r="A239" s="2" t="s">
        <v>640</v>
      </c>
      <c r="B239" s="3" t="s">
        <v>641</v>
      </c>
      <c r="C239" s="3" t="s">
        <v>642</v>
      </c>
      <c r="D239" s="4" t="s">
        <v>7</v>
      </c>
      <c r="F239">
        <v>4779174699</v>
      </c>
      <c r="G239" s="1" t="s">
        <v>1003</v>
      </c>
      <c r="H239" s="1" t="s">
        <v>1319</v>
      </c>
      <c r="I239" s="1" t="s">
        <v>1081</v>
      </c>
      <c r="J239">
        <v>2192</v>
      </c>
      <c r="K239" s="1" t="str">
        <f>VLOOKUP(uslugi413[[#This Row],[ozn]],$A$2:$D$410,2,FALSE)</f>
        <v>Wroclaw</v>
      </c>
      <c r="L239" s="1">
        <f>IF(VLOOKUP(uslugi413[[#This Row],[ozn]],$A$2:$D$410,4,FALSE)="z",1,0)</f>
        <v>0</v>
      </c>
    </row>
    <row r="240" spans="1:12" x14ac:dyDescent="0.25">
      <c r="A240" s="5" t="s">
        <v>643</v>
      </c>
      <c r="B240" s="6" t="s">
        <v>644</v>
      </c>
      <c r="C240" s="6" t="s">
        <v>645</v>
      </c>
      <c r="D240" s="7" t="s">
        <v>7</v>
      </c>
      <c r="F240">
        <v>6727559092</v>
      </c>
      <c r="G240" s="1" t="s">
        <v>562</v>
      </c>
      <c r="H240" s="1" t="s">
        <v>1320</v>
      </c>
      <c r="I240" s="1" t="s">
        <v>1081</v>
      </c>
      <c r="J240">
        <v>2480</v>
      </c>
      <c r="K240" s="1" t="str">
        <f>VLOOKUP(uslugi413[[#This Row],[ozn]],$A$2:$D$410,2,FALSE)</f>
        <v>opolski</v>
      </c>
      <c r="L240" s="1">
        <f>IF(VLOOKUP(uslugi413[[#This Row],[ozn]],$A$2:$D$410,4,FALSE)="z",1,0)</f>
        <v>1</v>
      </c>
    </row>
    <row r="241" spans="1:12" x14ac:dyDescent="0.25">
      <c r="A241" s="2" t="s">
        <v>646</v>
      </c>
      <c r="B241" s="3" t="s">
        <v>647</v>
      </c>
      <c r="C241" s="3" t="s">
        <v>648</v>
      </c>
      <c r="D241" s="4" t="s">
        <v>7</v>
      </c>
      <c r="F241">
        <v>4761158900</v>
      </c>
      <c r="G241" s="1" t="s">
        <v>29</v>
      </c>
      <c r="H241" s="1" t="s">
        <v>1321</v>
      </c>
      <c r="I241" s="1" t="s">
        <v>1087</v>
      </c>
      <c r="J241">
        <v>2578</v>
      </c>
      <c r="K241" s="1" t="str">
        <f>VLOOKUP(uslugi413[[#This Row],[ozn]],$A$2:$D$410,2,FALSE)</f>
        <v>bialostocki</v>
      </c>
      <c r="L241" s="1">
        <f>IF(VLOOKUP(uslugi413[[#This Row],[ozn]],$A$2:$D$410,4,FALSE)="z",1,0)</f>
        <v>1</v>
      </c>
    </row>
    <row r="242" spans="1:12" x14ac:dyDescent="0.25">
      <c r="A242" s="5" t="s">
        <v>649</v>
      </c>
      <c r="B242" s="6" t="s">
        <v>650</v>
      </c>
      <c r="C242" s="6" t="s">
        <v>651</v>
      </c>
      <c r="D242" s="7" t="s">
        <v>7</v>
      </c>
      <c r="F242">
        <v>4761158900</v>
      </c>
      <c r="G242" s="1" t="s">
        <v>29</v>
      </c>
      <c r="H242" s="1" t="s">
        <v>1322</v>
      </c>
      <c r="I242" s="1" t="s">
        <v>1087</v>
      </c>
      <c r="J242">
        <v>1774</v>
      </c>
      <c r="K242" s="1" t="str">
        <f>VLOOKUP(uslugi413[[#This Row],[ozn]],$A$2:$D$410,2,FALSE)</f>
        <v>bialostocki</v>
      </c>
      <c r="L242" s="1">
        <f>IF(VLOOKUP(uslugi413[[#This Row],[ozn]],$A$2:$D$410,4,FALSE)="z",1,0)</f>
        <v>1</v>
      </c>
    </row>
    <row r="243" spans="1:12" x14ac:dyDescent="0.25">
      <c r="A243" s="2" t="s">
        <v>652</v>
      </c>
      <c r="B243" s="3" t="s">
        <v>653</v>
      </c>
      <c r="C243" s="3" t="s">
        <v>654</v>
      </c>
      <c r="D243" s="4" t="s">
        <v>7</v>
      </c>
      <c r="F243">
        <v>2394072755</v>
      </c>
      <c r="G243" s="1" t="s">
        <v>1022</v>
      </c>
      <c r="H243" s="1" t="s">
        <v>1323</v>
      </c>
      <c r="I243" s="1" t="s">
        <v>1087</v>
      </c>
      <c r="J243">
        <v>750</v>
      </c>
      <c r="K243" s="1" t="str">
        <f>VLOOKUP(uslugi413[[#This Row],[ozn]],$A$2:$D$410,2,FALSE)</f>
        <v>Zabrze</v>
      </c>
      <c r="L243" s="1">
        <f>IF(VLOOKUP(uslugi413[[#This Row],[ozn]],$A$2:$D$410,4,FALSE)="z",1,0)</f>
        <v>0</v>
      </c>
    </row>
    <row r="244" spans="1:12" x14ac:dyDescent="0.25">
      <c r="A244" s="5" t="s">
        <v>655</v>
      </c>
      <c r="B244" s="6" t="s">
        <v>654</v>
      </c>
      <c r="C244" s="6" t="s">
        <v>654</v>
      </c>
      <c r="D244" s="7" t="s">
        <v>22</v>
      </c>
      <c r="F244">
        <v>1939065269</v>
      </c>
      <c r="G244" s="1" t="s">
        <v>636</v>
      </c>
      <c r="H244" s="1" t="s">
        <v>1324</v>
      </c>
      <c r="I244" s="1" t="s">
        <v>1081</v>
      </c>
      <c r="J244">
        <v>2562</v>
      </c>
      <c r="K244" s="1" t="str">
        <f>VLOOKUP(uslugi413[[#This Row],[ozn]],$A$2:$D$410,2,FALSE)</f>
        <v>Poznan</v>
      </c>
      <c r="L244" s="1">
        <f>IF(VLOOKUP(uslugi413[[#This Row],[ozn]],$A$2:$D$410,4,FALSE)="z",1,0)</f>
        <v>0</v>
      </c>
    </row>
    <row r="245" spans="1:12" x14ac:dyDescent="0.25">
      <c r="A245" s="2" t="s">
        <v>656</v>
      </c>
      <c r="B245" s="3" t="s">
        <v>657</v>
      </c>
      <c r="C245" s="3" t="s">
        <v>658</v>
      </c>
      <c r="D245" s="4" t="s">
        <v>7</v>
      </c>
      <c r="F245">
        <v>3114182744</v>
      </c>
      <c r="G245" s="1" t="s">
        <v>1022</v>
      </c>
      <c r="H245" s="1" t="s">
        <v>1325</v>
      </c>
      <c r="I245" s="1" t="s">
        <v>1081</v>
      </c>
      <c r="J245">
        <v>1959</v>
      </c>
      <c r="K245" s="1" t="str">
        <f>VLOOKUP(uslugi413[[#This Row],[ozn]],$A$2:$D$410,2,FALSE)</f>
        <v>Zabrze</v>
      </c>
      <c r="L245" s="1">
        <f>IF(VLOOKUP(uslugi413[[#This Row],[ozn]],$A$2:$D$410,4,FALSE)="z",1,0)</f>
        <v>0</v>
      </c>
    </row>
    <row r="246" spans="1:12" x14ac:dyDescent="0.25">
      <c r="A246" s="5" t="s">
        <v>659</v>
      </c>
      <c r="B246" s="6" t="s">
        <v>660</v>
      </c>
      <c r="C246" s="6" t="s">
        <v>661</v>
      </c>
      <c r="D246" s="7" t="s">
        <v>7</v>
      </c>
      <c r="F246">
        <v>4326751508</v>
      </c>
      <c r="G246" s="1" t="s">
        <v>405</v>
      </c>
      <c r="H246" s="1" t="s">
        <v>1326</v>
      </c>
      <c r="I246" s="1" t="s">
        <v>1081</v>
      </c>
      <c r="J246">
        <v>2624</v>
      </c>
      <c r="K246" s="1" t="str">
        <f>VLOOKUP(uslugi413[[#This Row],[ozn]],$A$2:$D$410,2,FALSE)</f>
        <v>Lodz</v>
      </c>
      <c r="L246" s="1">
        <f>IF(VLOOKUP(uslugi413[[#This Row],[ozn]],$A$2:$D$410,4,FALSE)="z",1,0)</f>
        <v>0</v>
      </c>
    </row>
    <row r="247" spans="1:12" x14ac:dyDescent="0.25">
      <c r="A247" s="2" t="s">
        <v>662</v>
      </c>
      <c r="B247" s="3" t="s">
        <v>663</v>
      </c>
      <c r="C247" s="3" t="s">
        <v>664</v>
      </c>
      <c r="D247" s="4" t="s">
        <v>7</v>
      </c>
      <c r="F247">
        <v>4326751508</v>
      </c>
      <c r="G247" s="1" t="s">
        <v>255</v>
      </c>
      <c r="H247" s="1" t="s">
        <v>1327</v>
      </c>
      <c r="I247" s="1" t="s">
        <v>1087</v>
      </c>
      <c r="J247">
        <v>2760</v>
      </c>
      <c r="K247" s="1" t="str">
        <f>VLOOKUP(uslugi413[[#This Row],[ozn]],$A$2:$D$410,2,FALSE)</f>
        <v>jeleniogorski</v>
      </c>
      <c r="L247" s="1">
        <f>IF(VLOOKUP(uslugi413[[#This Row],[ozn]],$A$2:$D$410,4,FALSE)="z",1,0)</f>
        <v>1</v>
      </c>
    </row>
    <row r="248" spans="1:12" x14ac:dyDescent="0.25">
      <c r="A248" s="5" t="s">
        <v>665</v>
      </c>
      <c r="B248" s="6" t="s">
        <v>666</v>
      </c>
      <c r="C248" s="6" t="s">
        <v>667</v>
      </c>
      <c r="D248" s="7" t="s">
        <v>7</v>
      </c>
      <c r="F248">
        <v>3568004264</v>
      </c>
      <c r="G248" s="1" t="s">
        <v>428</v>
      </c>
      <c r="H248" s="1" t="s">
        <v>1328</v>
      </c>
      <c r="I248" s="1" t="s">
        <v>1081</v>
      </c>
      <c r="J248">
        <v>2404</v>
      </c>
      <c r="K248" s="1" t="str">
        <f>VLOOKUP(uslugi413[[#This Row],[ozn]],$A$2:$D$410,2,FALSE)</f>
        <v>lubelski</v>
      </c>
      <c r="L248" s="1">
        <f>IF(VLOOKUP(uslugi413[[#This Row],[ozn]],$A$2:$D$410,4,FALSE)="z",1,0)</f>
        <v>1</v>
      </c>
    </row>
    <row r="249" spans="1:12" x14ac:dyDescent="0.25">
      <c r="A249" s="2" t="s">
        <v>668</v>
      </c>
      <c r="B249" s="3" t="s">
        <v>669</v>
      </c>
      <c r="C249" s="3" t="s">
        <v>670</v>
      </c>
      <c r="D249" s="4" t="s">
        <v>7</v>
      </c>
      <c r="F249">
        <v>1278408463</v>
      </c>
      <c r="G249" s="1" t="s">
        <v>314</v>
      </c>
      <c r="H249" s="1" t="s">
        <v>1329</v>
      </c>
      <c r="I249" s="1" t="s">
        <v>1081</v>
      </c>
      <c r="J249">
        <v>2328</v>
      </c>
      <c r="K249" s="1" t="str">
        <f>VLOOKUP(uslugi413[[#This Row],[ozn]],$A$2:$D$410,2,FALSE)</f>
        <v>Konin</v>
      </c>
      <c r="L249" s="1">
        <f>IF(VLOOKUP(uslugi413[[#This Row],[ozn]],$A$2:$D$410,4,FALSE)="z",1,0)</f>
        <v>0</v>
      </c>
    </row>
    <row r="250" spans="1:12" x14ac:dyDescent="0.25">
      <c r="A250" s="5" t="s">
        <v>671</v>
      </c>
      <c r="B250" s="6" t="s">
        <v>672</v>
      </c>
      <c r="C250" s="6" t="s">
        <v>673</v>
      </c>
      <c r="D250" s="7" t="s">
        <v>7</v>
      </c>
      <c r="F250">
        <v>5185759244</v>
      </c>
      <c r="G250" s="1" t="s">
        <v>1022</v>
      </c>
      <c r="H250" s="1" t="s">
        <v>1330</v>
      </c>
      <c r="I250" s="1" t="s">
        <v>1087</v>
      </c>
      <c r="J250">
        <v>2610</v>
      </c>
      <c r="K250" s="1" t="str">
        <f>VLOOKUP(uslugi413[[#This Row],[ozn]],$A$2:$D$410,2,FALSE)</f>
        <v>Zabrze</v>
      </c>
      <c r="L250" s="1">
        <f>IF(VLOOKUP(uslugi413[[#This Row],[ozn]],$A$2:$D$410,4,FALSE)="z",1,0)</f>
        <v>0</v>
      </c>
    </row>
    <row r="251" spans="1:12" x14ac:dyDescent="0.25">
      <c r="A251" s="2" t="s">
        <v>674</v>
      </c>
      <c r="B251" s="3" t="s">
        <v>675</v>
      </c>
      <c r="C251" s="3" t="s">
        <v>676</v>
      </c>
      <c r="D251" s="4" t="s">
        <v>7</v>
      </c>
      <c r="F251">
        <v>4761158900</v>
      </c>
      <c r="G251" s="1" t="s">
        <v>29</v>
      </c>
      <c r="H251" s="1" t="s">
        <v>1331</v>
      </c>
      <c r="I251" s="1" t="s">
        <v>1081</v>
      </c>
      <c r="J251">
        <v>2010</v>
      </c>
      <c r="K251" s="1" t="str">
        <f>VLOOKUP(uslugi413[[#This Row],[ozn]],$A$2:$D$410,2,FALSE)</f>
        <v>bialostocki</v>
      </c>
      <c r="L251" s="1">
        <f>IF(VLOOKUP(uslugi413[[#This Row],[ozn]],$A$2:$D$410,4,FALSE)="z",1,0)</f>
        <v>1</v>
      </c>
    </row>
    <row r="252" spans="1:12" x14ac:dyDescent="0.25">
      <c r="A252" s="5" t="s">
        <v>677</v>
      </c>
      <c r="B252" s="6" t="s">
        <v>678</v>
      </c>
      <c r="C252" s="6" t="s">
        <v>679</v>
      </c>
      <c r="D252" s="7" t="s">
        <v>7</v>
      </c>
      <c r="F252">
        <v>4326751508</v>
      </c>
      <c r="G252" s="1" t="s">
        <v>386</v>
      </c>
      <c r="H252" s="1" t="s">
        <v>1332</v>
      </c>
      <c r="I252" s="1" t="s">
        <v>1081</v>
      </c>
      <c r="J252">
        <v>2196</v>
      </c>
      <c r="K252" s="1" t="str">
        <f>VLOOKUP(uslugi413[[#This Row],[ozn]],$A$2:$D$410,2,FALSE)</f>
        <v>Leszno</v>
      </c>
      <c r="L252" s="1">
        <f>IF(VLOOKUP(uslugi413[[#This Row],[ozn]],$A$2:$D$410,4,FALSE)="z",1,0)</f>
        <v>0</v>
      </c>
    </row>
    <row r="253" spans="1:12" x14ac:dyDescent="0.25">
      <c r="A253" s="2" t="s">
        <v>680</v>
      </c>
      <c r="B253" s="3" t="s">
        <v>681</v>
      </c>
      <c r="C253" s="3" t="s">
        <v>681</v>
      </c>
      <c r="D253" s="4" t="s">
        <v>22</v>
      </c>
      <c r="F253">
        <v>6758177505</v>
      </c>
      <c r="G253" s="1" t="s">
        <v>562</v>
      </c>
      <c r="H253" s="1" t="s">
        <v>1333</v>
      </c>
      <c r="I253" s="1" t="s">
        <v>1087</v>
      </c>
      <c r="J253">
        <v>2095</v>
      </c>
      <c r="K253" s="1" t="str">
        <f>VLOOKUP(uslugi413[[#This Row],[ozn]],$A$2:$D$410,2,FALSE)</f>
        <v>opolski</v>
      </c>
      <c r="L253" s="1">
        <f>IF(VLOOKUP(uslugi413[[#This Row],[ozn]],$A$2:$D$410,4,FALSE)="z",1,0)</f>
        <v>1</v>
      </c>
    </row>
    <row r="254" spans="1:12" x14ac:dyDescent="0.25">
      <c r="A254" s="5" t="s">
        <v>682</v>
      </c>
      <c r="B254" s="6" t="s">
        <v>683</v>
      </c>
      <c r="C254" s="6" t="s">
        <v>681</v>
      </c>
      <c r="D254" s="7" t="s">
        <v>7</v>
      </c>
      <c r="F254">
        <v>1617995032</v>
      </c>
      <c r="G254" s="1" t="s">
        <v>892</v>
      </c>
      <c r="H254" s="1" t="s">
        <v>1334</v>
      </c>
      <c r="I254" s="1" t="s">
        <v>1081</v>
      </c>
      <c r="J254">
        <v>1899</v>
      </c>
      <c r="K254" s="1" t="str">
        <f>VLOOKUP(uslugi413[[#This Row],[ozn]],$A$2:$D$410,2,FALSE)</f>
        <v>turecki</v>
      </c>
      <c r="L254" s="1">
        <f>IF(VLOOKUP(uslugi413[[#This Row],[ozn]],$A$2:$D$410,4,FALSE)="z",1,0)</f>
        <v>1</v>
      </c>
    </row>
    <row r="255" spans="1:12" x14ac:dyDescent="0.25">
      <c r="A255" s="2" t="s">
        <v>684</v>
      </c>
      <c r="B255" s="3" t="s">
        <v>685</v>
      </c>
      <c r="C255" s="3" t="s">
        <v>686</v>
      </c>
      <c r="D255" s="4" t="s">
        <v>7</v>
      </c>
      <c r="F255">
        <v>1433397952</v>
      </c>
      <c r="G255" s="1" t="s">
        <v>314</v>
      </c>
      <c r="H255" s="1" t="s">
        <v>1335</v>
      </c>
      <c r="I255" s="1" t="s">
        <v>1087</v>
      </c>
      <c r="J255">
        <v>2180</v>
      </c>
      <c r="K255" s="1" t="str">
        <f>VLOOKUP(uslugi413[[#This Row],[ozn]],$A$2:$D$410,2,FALSE)</f>
        <v>Konin</v>
      </c>
      <c r="L255" s="1">
        <f>IF(VLOOKUP(uslugi413[[#This Row],[ozn]],$A$2:$D$410,4,FALSE)="z",1,0)</f>
        <v>0</v>
      </c>
    </row>
    <row r="256" spans="1:12" x14ac:dyDescent="0.25">
      <c r="A256" s="5" t="s">
        <v>687</v>
      </c>
      <c r="B256" s="6" t="s">
        <v>688</v>
      </c>
      <c r="C256" s="6" t="s">
        <v>689</v>
      </c>
      <c r="D256" s="7" t="s">
        <v>7</v>
      </c>
      <c r="F256">
        <v>5115061689</v>
      </c>
      <c r="G256" s="1" t="s">
        <v>704</v>
      </c>
      <c r="H256" s="1" t="s">
        <v>1336</v>
      </c>
      <c r="I256" s="1" t="s">
        <v>1087</v>
      </c>
      <c r="J256">
        <v>1864</v>
      </c>
      <c r="K256" s="1" t="str">
        <f>VLOOKUP(uslugi413[[#This Row],[ozn]],$A$2:$D$410,2,FALSE)</f>
        <v>Ruda Slaska</v>
      </c>
      <c r="L256" s="1">
        <f>IF(VLOOKUP(uslugi413[[#This Row],[ozn]],$A$2:$D$410,4,FALSE)="z",1,0)</f>
        <v>0</v>
      </c>
    </row>
    <row r="257" spans="1:12" x14ac:dyDescent="0.25">
      <c r="A257" s="2" t="s">
        <v>690</v>
      </c>
      <c r="B257" s="3" t="s">
        <v>691</v>
      </c>
      <c r="C257" s="3" t="s">
        <v>692</v>
      </c>
      <c r="D257" s="4" t="s">
        <v>7</v>
      </c>
      <c r="F257">
        <v>4761158900</v>
      </c>
      <c r="G257" s="1" t="s">
        <v>29</v>
      </c>
      <c r="H257" s="1" t="s">
        <v>1337</v>
      </c>
      <c r="I257" s="1" t="s">
        <v>1087</v>
      </c>
      <c r="J257">
        <v>2172</v>
      </c>
      <c r="K257" s="1" t="str">
        <f>VLOOKUP(uslugi413[[#This Row],[ozn]],$A$2:$D$410,2,FALSE)</f>
        <v>bialostocki</v>
      </c>
      <c r="L257" s="1">
        <f>IF(VLOOKUP(uslugi413[[#This Row],[ozn]],$A$2:$D$410,4,FALSE)="z",1,0)</f>
        <v>1</v>
      </c>
    </row>
    <row r="258" spans="1:12" x14ac:dyDescent="0.25">
      <c r="A258" s="5" t="s">
        <v>693</v>
      </c>
      <c r="B258" s="6" t="s">
        <v>694</v>
      </c>
      <c r="C258" s="6" t="s">
        <v>695</v>
      </c>
      <c r="D258" s="7" t="s">
        <v>7</v>
      </c>
      <c r="F258">
        <v>4761158900</v>
      </c>
      <c r="G258" s="1" t="s">
        <v>29</v>
      </c>
      <c r="H258" s="1" t="s">
        <v>1338</v>
      </c>
      <c r="I258" s="1" t="s">
        <v>1081</v>
      </c>
      <c r="J258">
        <v>1950</v>
      </c>
      <c r="K258" s="1" t="str">
        <f>VLOOKUP(uslugi413[[#This Row],[ozn]],$A$2:$D$410,2,FALSE)</f>
        <v>bialostocki</v>
      </c>
      <c r="L258" s="1">
        <f>IF(VLOOKUP(uslugi413[[#This Row],[ozn]],$A$2:$D$410,4,FALSE)="z",1,0)</f>
        <v>1</v>
      </c>
    </row>
    <row r="259" spans="1:12" x14ac:dyDescent="0.25">
      <c r="A259" s="2" t="s">
        <v>696</v>
      </c>
      <c r="B259" s="3" t="s">
        <v>697</v>
      </c>
      <c r="C259" s="3" t="s">
        <v>698</v>
      </c>
      <c r="D259" s="4" t="s">
        <v>7</v>
      </c>
      <c r="F259">
        <v>2119268767</v>
      </c>
      <c r="G259" s="1" t="s">
        <v>141</v>
      </c>
      <c r="H259" s="1" t="s">
        <v>1339</v>
      </c>
      <c r="I259" s="1" t="s">
        <v>1087</v>
      </c>
      <c r="J259">
        <v>2115</v>
      </c>
      <c r="K259" s="1" t="str">
        <f>VLOOKUP(uslugi413[[#This Row],[ozn]],$A$2:$D$410,2,FALSE)</f>
        <v>elblaski</v>
      </c>
      <c r="L259" s="1">
        <f>IF(VLOOKUP(uslugi413[[#This Row],[ozn]],$A$2:$D$410,4,FALSE)="z",1,0)</f>
        <v>1</v>
      </c>
    </row>
    <row r="260" spans="1:12" x14ac:dyDescent="0.25">
      <c r="A260" s="5" t="s">
        <v>699</v>
      </c>
      <c r="B260" s="6" t="s">
        <v>700</v>
      </c>
      <c r="C260" s="6" t="s">
        <v>701</v>
      </c>
      <c r="D260" s="7" t="s">
        <v>7</v>
      </c>
      <c r="F260">
        <v>3866883575</v>
      </c>
      <c r="G260" s="1" t="s">
        <v>434</v>
      </c>
      <c r="H260" s="1" t="s">
        <v>1340</v>
      </c>
      <c r="I260" s="1" t="s">
        <v>1087</v>
      </c>
      <c r="J260">
        <v>2457</v>
      </c>
      <c r="K260" s="1" t="str">
        <f>VLOOKUP(uslugi413[[#This Row],[ozn]],$A$2:$D$410,2,FALSE)</f>
        <v>Lublin</v>
      </c>
      <c r="L260" s="1">
        <f>IF(VLOOKUP(uslugi413[[#This Row],[ozn]],$A$2:$D$410,4,FALSE)="z",1,0)</f>
        <v>0</v>
      </c>
    </row>
    <row r="261" spans="1:12" x14ac:dyDescent="0.25">
      <c r="A261" s="2" t="s">
        <v>702</v>
      </c>
      <c r="B261" s="3" t="s">
        <v>703</v>
      </c>
      <c r="C261" s="3" t="s">
        <v>703</v>
      </c>
      <c r="D261" s="4" t="s">
        <v>22</v>
      </c>
      <c r="F261">
        <v>2394072755</v>
      </c>
      <c r="G261" s="1" t="s">
        <v>1022</v>
      </c>
      <c r="H261" s="1" t="s">
        <v>1341</v>
      </c>
      <c r="I261" s="1" t="s">
        <v>1087</v>
      </c>
      <c r="J261">
        <v>2792</v>
      </c>
      <c r="K261" s="1" t="str">
        <f>VLOOKUP(uslugi413[[#This Row],[ozn]],$A$2:$D$410,2,FALSE)</f>
        <v>Zabrze</v>
      </c>
      <c r="L261" s="1">
        <f>IF(VLOOKUP(uslugi413[[#This Row],[ozn]],$A$2:$D$410,4,FALSE)="z",1,0)</f>
        <v>0</v>
      </c>
    </row>
    <row r="262" spans="1:12" x14ac:dyDescent="0.25">
      <c r="A262" s="5" t="s">
        <v>704</v>
      </c>
      <c r="B262" s="6" t="s">
        <v>703</v>
      </c>
      <c r="C262" s="6" t="s">
        <v>703</v>
      </c>
      <c r="D262" s="7" t="s">
        <v>22</v>
      </c>
      <c r="F262">
        <v>6758177505</v>
      </c>
      <c r="G262" s="1" t="s">
        <v>562</v>
      </c>
      <c r="H262" s="1" t="s">
        <v>1342</v>
      </c>
      <c r="I262" s="1" t="s">
        <v>1087</v>
      </c>
      <c r="J262">
        <v>2915</v>
      </c>
      <c r="K262" s="1" t="str">
        <f>VLOOKUP(uslugi413[[#This Row],[ozn]],$A$2:$D$410,2,FALSE)</f>
        <v>opolski</v>
      </c>
      <c r="L262" s="1">
        <f>IF(VLOOKUP(uslugi413[[#This Row],[ozn]],$A$2:$D$410,4,FALSE)="z",1,0)</f>
        <v>1</v>
      </c>
    </row>
    <row r="263" spans="1:12" x14ac:dyDescent="0.25">
      <c r="A263" s="2" t="s">
        <v>705</v>
      </c>
      <c r="B263" s="3" t="s">
        <v>706</v>
      </c>
      <c r="C263" s="3" t="s">
        <v>707</v>
      </c>
      <c r="D263" s="4" t="s">
        <v>7</v>
      </c>
      <c r="F263">
        <v>4326751508</v>
      </c>
      <c r="G263" s="1" t="s">
        <v>386</v>
      </c>
      <c r="H263" s="1" t="s">
        <v>1343</v>
      </c>
      <c r="I263" s="1" t="s">
        <v>1081</v>
      </c>
      <c r="J263">
        <v>1515</v>
      </c>
      <c r="K263" s="1" t="str">
        <f>VLOOKUP(uslugi413[[#This Row],[ozn]],$A$2:$D$410,2,FALSE)</f>
        <v>Leszno</v>
      </c>
      <c r="L263" s="1">
        <f>IF(VLOOKUP(uslugi413[[#This Row],[ozn]],$A$2:$D$410,4,FALSE)="z",1,0)</f>
        <v>0</v>
      </c>
    </row>
    <row r="264" spans="1:12" x14ac:dyDescent="0.25">
      <c r="A264" s="5" t="s">
        <v>708</v>
      </c>
      <c r="B264" s="6" t="s">
        <v>707</v>
      </c>
      <c r="C264" s="6" t="s">
        <v>707</v>
      </c>
      <c r="D264" s="7" t="s">
        <v>22</v>
      </c>
      <c r="F264">
        <v>2394072755</v>
      </c>
      <c r="G264" s="1" t="s">
        <v>1022</v>
      </c>
      <c r="H264" s="1" t="s">
        <v>1344</v>
      </c>
      <c r="I264" s="1" t="s">
        <v>1087</v>
      </c>
      <c r="J264">
        <v>2330</v>
      </c>
      <c r="K264" s="1" t="str">
        <f>VLOOKUP(uslugi413[[#This Row],[ozn]],$A$2:$D$410,2,FALSE)</f>
        <v>Zabrze</v>
      </c>
      <c r="L264" s="1">
        <f>IF(VLOOKUP(uslugi413[[#This Row],[ozn]],$A$2:$D$410,4,FALSE)="z",1,0)</f>
        <v>0</v>
      </c>
    </row>
    <row r="265" spans="1:12" x14ac:dyDescent="0.25">
      <c r="A265" s="2" t="s">
        <v>709</v>
      </c>
      <c r="B265" s="3" t="s">
        <v>710</v>
      </c>
      <c r="C265" s="3" t="s">
        <v>711</v>
      </c>
      <c r="D265" s="4" t="s">
        <v>7</v>
      </c>
      <c r="F265">
        <v>4326751508</v>
      </c>
      <c r="G265" s="1" t="s">
        <v>386</v>
      </c>
      <c r="H265" s="1" t="s">
        <v>1345</v>
      </c>
      <c r="I265" s="1" t="s">
        <v>1081</v>
      </c>
      <c r="J265">
        <v>2245</v>
      </c>
      <c r="K265" s="1" t="str">
        <f>VLOOKUP(uslugi413[[#This Row],[ozn]],$A$2:$D$410,2,FALSE)</f>
        <v>Leszno</v>
      </c>
      <c r="L265" s="1">
        <f>IF(VLOOKUP(uslugi413[[#This Row],[ozn]],$A$2:$D$410,4,FALSE)="z",1,0)</f>
        <v>0</v>
      </c>
    </row>
    <row r="266" spans="1:12" x14ac:dyDescent="0.25">
      <c r="A266" s="5" t="s">
        <v>712</v>
      </c>
      <c r="B266" s="6" t="s">
        <v>713</v>
      </c>
      <c r="C266" s="6" t="s">
        <v>714</v>
      </c>
      <c r="D266" s="7" t="s">
        <v>7</v>
      </c>
      <c r="F266">
        <v>5341884086</v>
      </c>
      <c r="G266" s="1" t="s">
        <v>1022</v>
      </c>
      <c r="H266" s="1" t="s">
        <v>1346</v>
      </c>
      <c r="I266" s="1" t="s">
        <v>1081</v>
      </c>
      <c r="J266">
        <v>2880</v>
      </c>
      <c r="K266" s="1" t="str">
        <f>VLOOKUP(uslugi413[[#This Row],[ozn]],$A$2:$D$410,2,FALSE)</f>
        <v>Zabrze</v>
      </c>
      <c r="L266" s="1">
        <f>IF(VLOOKUP(uslugi413[[#This Row],[ozn]],$A$2:$D$410,4,FALSE)="z",1,0)</f>
        <v>0</v>
      </c>
    </row>
    <row r="267" spans="1:12" x14ac:dyDescent="0.25">
      <c r="A267" s="2" t="s">
        <v>715</v>
      </c>
      <c r="B267" s="3" t="s">
        <v>716</v>
      </c>
      <c r="C267" s="3" t="s">
        <v>716</v>
      </c>
      <c r="D267" s="4" t="s">
        <v>22</v>
      </c>
      <c r="F267">
        <v>1581329071</v>
      </c>
      <c r="G267" s="1" t="s">
        <v>1022</v>
      </c>
      <c r="H267" s="1" t="s">
        <v>1347</v>
      </c>
      <c r="I267" s="1" t="s">
        <v>1081</v>
      </c>
      <c r="J267">
        <v>2270</v>
      </c>
      <c r="K267" s="1" t="str">
        <f>VLOOKUP(uslugi413[[#This Row],[ozn]],$A$2:$D$410,2,FALSE)</f>
        <v>Zabrze</v>
      </c>
      <c r="L267" s="1">
        <f>IF(VLOOKUP(uslugi413[[#This Row],[ozn]],$A$2:$D$410,4,FALSE)="z",1,0)</f>
        <v>0</v>
      </c>
    </row>
    <row r="268" spans="1:12" x14ac:dyDescent="0.25">
      <c r="A268" s="5" t="s">
        <v>717</v>
      </c>
      <c r="B268" s="6" t="s">
        <v>718</v>
      </c>
      <c r="C268" s="6" t="s">
        <v>716</v>
      </c>
      <c r="D268" s="7" t="s">
        <v>7</v>
      </c>
      <c r="F268">
        <v>5341884086</v>
      </c>
      <c r="G268" s="1" t="s">
        <v>1022</v>
      </c>
      <c r="H268" s="1" t="s">
        <v>1348</v>
      </c>
      <c r="I268" s="1" t="s">
        <v>1081</v>
      </c>
      <c r="J268">
        <v>2748</v>
      </c>
      <c r="K268" s="1" t="str">
        <f>VLOOKUP(uslugi413[[#This Row],[ozn]],$A$2:$D$410,2,FALSE)</f>
        <v>Zabrze</v>
      </c>
      <c r="L268" s="1">
        <f>IF(VLOOKUP(uslugi413[[#This Row],[ozn]],$A$2:$D$410,4,FALSE)="z",1,0)</f>
        <v>0</v>
      </c>
    </row>
    <row r="269" spans="1:12" x14ac:dyDescent="0.25">
      <c r="A269" s="2" t="s">
        <v>719</v>
      </c>
      <c r="B269" s="3" t="s">
        <v>720</v>
      </c>
      <c r="C269" s="3" t="s">
        <v>721</v>
      </c>
      <c r="D269" s="4" t="s">
        <v>7</v>
      </c>
      <c r="F269">
        <v>4241680809</v>
      </c>
      <c r="G269" s="1" t="s">
        <v>1022</v>
      </c>
      <c r="H269" s="1" t="s">
        <v>1349</v>
      </c>
      <c r="I269" s="1" t="s">
        <v>1087</v>
      </c>
      <c r="J269">
        <v>1995</v>
      </c>
      <c r="K269" s="1" t="str">
        <f>VLOOKUP(uslugi413[[#This Row],[ozn]],$A$2:$D$410,2,FALSE)</f>
        <v>Zabrze</v>
      </c>
      <c r="L269" s="1">
        <f>IF(VLOOKUP(uslugi413[[#This Row],[ozn]],$A$2:$D$410,4,FALSE)="z",1,0)</f>
        <v>0</v>
      </c>
    </row>
    <row r="270" spans="1:12" x14ac:dyDescent="0.25">
      <c r="A270" s="5" t="s">
        <v>722</v>
      </c>
      <c r="B270" s="6" t="s">
        <v>723</v>
      </c>
      <c r="C270" s="6" t="s">
        <v>724</v>
      </c>
      <c r="D270" s="7" t="s">
        <v>7</v>
      </c>
      <c r="F270">
        <v>5229945534</v>
      </c>
      <c r="G270" s="1" t="s">
        <v>1022</v>
      </c>
      <c r="H270" s="1" t="s">
        <v>1350</v>
      </c>
      <c r="I270" s="1" t="s">
        <v>1081</v>
      </c>
      <c r="J270">
        <v>3276</v>
      </c>
      <c r="K270" s="1" t="str">
        <f>VLOOKUP(uslugi413[[#This Row],[ozn]],$A$2:$D$410,2,FALSE)</f>
        <v>Zabrze</v>
      </c>
      <c r="L270" s="1">
        <f>IF(VLOOKUP(uslugi413[[#This Row],[ozn]],$A$2:$D$410,4,FALSE)="z",1,0)</f>
        <v>0</v>
      </c>
    </row>
    <row r="271" spans="1:12" x14ac:dyDescent="0.25">
      <c r="A271" s="2" t="s">
        <v>725</v>
      </c>
      <c r="B271" s="3" t="s">
        <v>726</v>
      </c>
      <c r="C271" s="3" t="s">
        <v>727</v>
      </c>
      <c r="D271" s="4" t="s">
        <v>7</v>
      </c>
      <c r="F271">
        <v>2281651150</v>
      </c>
      <c r="G271" s="1" t="s">
        <v>552</v>
      </c>
      <c r="H271" s="1" t="s">
        <v>1351</v>
      </c>
      <c r="I271" s="1" t="s">
        <v>1081</v>
      </c>
      <c r="J271">
        <v>1622</v>
      </c>
      <c r="K271" s="1" t="str">
        <f>VLOOKUP(uslugi413[[#This Row],[ozn]],$A$2:$D$410,2,FALSE)</f>
        <v>olsztynski</v>
      </c>
      <c r="L271" s="1">
        <f>IF(VLOOKUP(uslugi413[[#This Row],[ozn]],$A$2:$D$410,4,FALSE)="z",1,0)</f>
        <v>1</v>
      </c>
    </row>
    <row r="272" spans="1:12" x14ac:dyDescent="0.25">
      <c r="A272" s="5" t="s">
        <v>728</v>
      </c>
      <c r="B272" s="6" t="s">
        <v>729</v>
      </c>
      <c r="C272" s="6" t="s">
        <v>730</v>
      </c>
      <c r="D272" s="7" t="s">
        <v>7</v>
      </c>
      <c r="F272">
        <v>6727559092</v>
      </c>
      <c r="G272" s="1" t="s">
        <v>562</v>
      </c>
      <c r="H272" s="1" t="s">
        <v>1352</v>
      </c>
      <c r="I272" s="1" t="s">
        <v>1087</v>
      </c>
      <c r="J272">
        <v>2208</v>
      </c>
      <c r="K272" s="1" t="str">
        <f>VLOOKUP(uslugi413[[#This Row],[ozn]],$A$2:$D$410,2,FALSE)</f>
        <v>opolski</v>
      </c>
      <c r="L272" s="1">
        <f>IF(VLOOKUP(uslugi413[[#This Row],[ozn]],$A$2:$D$410,4,FALSE)="z",1,0)</f>
        <v>1</v>
      </c>
    </row>
    <row r="273" spans="1:12" x14ac:dyDescent="0.25">
      <c r="A273" s="2" t="s">
        <v>731</v>
      </c>
      <c r="B273" s="3" t="s">
        <v>732</v>
      </c>
      <c r="C273" s="3" t="s">
        <v>732</v>
      </c>
      <c r="D273" s="4" t="s">
        <v>22</v>
      </c>
      <c r="F273">
        <v>3678947206</v>
      </c>
      <c r="G273" s="1" t="s">
        <v>527</v>
      </c>
      <c r="H273" s="1" t="s">
        <v>1353</v>
      </c>
      <c r="I273" s="1" t="s">
        <v>1081</v>
      </c>
      <c r="J273">
        <v>2065</v>
      </c>
      <c r="K273" s="1" t="str">
        <f>VLOOKUP(uslugi413[[#This Row],[ozn]],$A$2:$D$410,2,FALSE)</f>
        <v>nyski</v>
      </c>
      <c r="L273" s="1">
        <f>IF(VLOOKUP(uslugi413[[#This Row],[ozn]],$A$2:$D$410,4,FALSE)="z",1,0)</f>
        <v>1</v>
      </c>
    </row>
    <row r="274" spans="1:12" x14ac:dyDescent="0.25">
      <c r="A274" s="5" t="s">
        <v>733</v>
      </c>
      <c r="B274" s="6" t="s">
        <v>734</v>
      </c>
      <c r="C274" s="6" t="s">
        <v>732</v>
      </c>
      <c r="D274" s="7" t="s">
        <v>7</v>
      </c>
      <c r="F274">
        <v>2119268767</v>
      </c>
      <c r="G274" s="1" t="s">
        <v>141</v>
      </c>
      <c r="H274" s="1" t="s">
        <v>1354</v>
      </c>
      <c r="I274" s="1" t="s">
        <v>1087</v>
      </c>
      <c r="J274">
        <v>1772</v>
      </c>
      <c r="K274" s="1" t="str">
        <f>VLOOKUP(uslugi413[[#This Row],[ozn]],$A$2:$D$410,2,FALSE)</f>
        <v>elblaski</v>
      </c>
      <c r="L274" s="1">
        <f>IF(VLOOKUP(uslugi413[[#This Row],[ozn]],$A$2:$D$410,4,FALSE)="z",1,0)</f>
        <v>1</v>
      </c>
    </row>
    <row r="275" spans="1:12" x14ac:dyDescent="0.25">
      <c r="A275" s="2" t="s">
        <v>735</v>
      </c>
      <c r="B275" s="3" t="s">
        <v>736</v>
      </c>
      <c r="C275" s="3" t="s">
        <v>736</v>
      </c>
      <c r="D275" s="4" t="s">
        <v>22</v>
      </c>
      <c r="F275">
        <v>3568004264</v>
      </c>
      <c r="G275" s="1" t="s">
        <v>428</v>
      </c>
      <c r="H275" s="1" t="s">
        <v>1355</v>
      </c>
      <c r="I275" s="1" t="s">
        <v>1087</v>
      </c>
      <c r="J275">
        <v>2175</v>
      </c>
      <c r="K275" s="1" t="str">
        <f>VLOOKUP(uslugi413[[#This Row],[ozn]],$A$2:$D$410,2,FALSE)</f>
        <v>lubelski</v>
      </c>
      <c r="L275" s="1">
        <f>IF(VLOOKUP(uslugi413[[#This Row],[ozn]],$A$2:$D$410,4,FALSE)="z",1,0)</f>
        <v>1</v>
      </c>
    </row>
    <row r="276" spans="1:12" x14ac:dyDescent="0.25">
      <c r="A276" s="5" t="s">
        <v>737</v>
      </c>
      <c r="B276" s="6" t="s">
        <v>738</v>
      </c>
      <c r="C276" s="6" t="s">
        <v>739</v>
      </c>
      <c r="D276" s="7" t="s">
        <v>7</v>
      </c>
      <c r="F276">
        <v>4326751508</v>
      </c>
      <c r="G276" s="1" t="s">
        <v>255</v>
      </c>
      <c r="H276" s="1" t="s">
        <v>1356</v>
      </c>
      <c r="I276" s="1" t="s">
        <v>1087</v>
      </c>
      <c r="J276">
        <v>2958</v>
      </c>
      <c r="K276" s="1" t="str">
        <f>VLOOKUP(uslugi413[[#This Row],[ozn]],$A$2:$D$410,2,FALSE)</f>
        <v>jeleniogorski</v>
      </c>
      <c r="L276" s="1">
        <f>IF(VLOOKUP(uslugi413[[#This Row],[ozn]],$A$2:$D$410,4,FALSE)="z",1,0)</f>
        <v>1</v>
      </c>
    </row>
    <row r="277" spans="1:12" x14ac:dyDescent="0.25">
      <c r="A277" s="2" t="s">
        <v>740</v>
      </c>
      <c r="B277" s="3" t="s">
        <v>741</v>
      </c>
      <c r="C277" s="3" t="s">
        <v>742</v>
      </c>
      <c r="D277" s="4" t="s">
        <v>7</v>
      </c>
      <c r="F277">
        <v>4796841112</v>
      </c>
      <c r="G277" s="1" t="s">
        <v>533</v>
      </c>
      <c r="H277" s="1" t="s">
        <v>1357</v>
      </c>
      <c r="I277" s="1" t="s">
        <v>1081</v>
      </c>
      <c r="J277">
        <v>2792</v>
      </c>
      <c r="K277" s="1" t="str">
        <f>VLOOKUP(uslugi413[[#This Row],[ozn]],$A$2:$D$410,2,FALSE)</f>
        <v>olawski</v>
      </c>
      <c r="L277" s="1">
        <f>IF(VLOOKUP(uslugi413[[#This Row],[ozn]],$A$2:$D$410,4,FALSE)="z",1,0)</f>
        <v>1</v>
      </c>
    </row>
    <row r="278" spans="1:12" x14ac:dyDescent="0.25">
      <c r="A278" s="5" t="s">
        <v>743</v>
      </c>
      <c r="B278" s="6" t="s">
        <v>744</v>
      </c>
      <c r="C278" s="6" t="s">
        <v>745</v>
      </c>
      <c r="D278" s="7" t="s">
        <v>7</v>
      </c>
      <c r="F278">
        <v>2138598159</v>
      </c>
      <c r="G278" s="1" t="s">
        <v>143</v>
      </c>
      <c r="H278" s="1" t="s">
        <v>1358</v>
      </c>
      <c r="I278" s="1" t="s">
        <v>1081</v>
      </c>
      <c r="J278">
        <v>2049</v>
      </c>
      <c r="K278" s="1" t="str">
        <f>VLOOKUP(uslugi413[[#This Row],[ozn]],$A$2:$D$410,2,FALSE)</f>
        <v>elcki</v>
      </c>
      <c r="L278" s="1">
        <f>IF(VLOOKUP(uslugi413[[#This Row],[ozn]],$A$2:$D$410,4,FALSE)="z",1,0)</f>
        <v>1</v>
      </c>
    </row>
    <row r="279" spans="1:12" x14ac:dyDescent="0.25">
      <c r="A279" s="2" t="s">
        <v>746</v>
      </c>
      <c r="B279" s="3" t="s">
        <v>747</v>
      </c>
      <c r="C279" s="3" t="s">
        <v>748</v>
      </c>
      <c r="D279" s="4" t="s">
        <v>7</v>
      </c>
      <c r="F279">
        <v>1617995032</v>
      </c>
      <c r="G279" s="1" t="s">
        <v>892</v>
      </c>
      <c r="H279" s="1" t="s">
        <v>1359</v>
      </c>
      <c r="I279" s="1" t="s">
        <v>1087</v>
      </c>
      <c r="J279">
        <v>1946</v>
      </c>
      <c r="K279" s="1" t="str">
        <f>VLOOKUP(uslugi413[[#This Row],[ozn]],$A$2:$D$410,2,FALSE)</f>
        <v>turecki</v>
      </c>
      <c r="L279" s="1">
        <f>IF(VLOOKUP(uslugi413[[#This Row],[ozn]],$A$2:$D$410,4,FALSE)="z",1,0)</f>
        <v>1</v>
      </c>
    </row>
    <row r="280" spans="1:12" x14ac:dyDescent="0.25">
      <c r="A280" s="5" t="s">
        <v>749</v>
      </c>
      <c r="B280" s="6" t="s">
        <v>750</v>
      </c>
      <c r="C280" s="6" t="s">
        <v>750</v>
      </c>
      <c r="D280" s="7" t="s">
        <v>22</v>
      </c>
      <c r="F280">
        <v>1278408463</v>
      </c>
      <c r="G280" s="1" t="s">
        <v>312</v>
      </c>
      <c r="H280" s="1" t="s">
        <v>1360</v>
      </c>
      <c r="I280" s="1" t="s">
        <v>1081</v>
      </c>
      <c r="J280">
        <v>2722</v>
      </c>
      <c r="K280" s="1" t="str">
        <f>VLOOKUP(uslugi413[[#This Row],[ozn]],$A$2:$D$410,2,FALSE)</f>
        <v>Konin</v>
      </c>
      <c r="L280" s="1">
        <f>IF(VLOOKUP(uslugi413[[#This Row],[ozn]],$A$2:$D$410,4,FALSE)="z",1,0)</f>
        <v>0</v>
      </c>
    </row>
    <row r="281" spans="1:12" x14ac:dyDescent="0.25">
      <c r="A281" s="2" t="s">
        <v>751</v>
      </c>
      <c r="B281" s="3" t="s">
        <v>752</v>
      </c>
      <c r="C281" s="3" t="s">
        <v>750</v>
      </c>
      <c r="D281" s="4" t="s">
        <v>7</v>
      </c>
      <c r="F281">
        <v>3345883725</v>
      </c>
      <c r="G281" s="1" t="s">
        <v>428</v>
      </c>
      <c r="H281" s="1" t="s">
        <v>1361</v>
      </c>
      <c r="I281" s="1" t="s">
        <v>1087</v>
      </c>
      <c r="J281">
        <v>2344</v>
      </c>
      <c r="K281" s="1" t="str">
        <f>VLOOKUP(uslugi413[[#This Row],[ozn]],$A$2:$D$410,2,FALSE)</f>
        <v>lubelski</v>
      </c>
      <c r="L281" s="1">
        <f>IF(VLOOKUP(uslugi413[[#This Row],[ozn]],$A$2:$D$410,4,FALSE)="z",1,0)</f>
        <v>1</v>
      </c>
    </row>
    <row r="282" spans="1:12" x14ac:dyDescent="0.25">
      <c r="A282" s="5" t="s">
        <v>753</v>
      </c>
      <c r="B282" s="6" t="s">
        <v>754</v>
      </c>
      <c r="C282" s="6" t="s">
        <v>755</v>
      </c>
      <c r="D282" s="7" t="s">
        <v>7</v>
      </c>
      <c r="F282">
        <v>5528435390</v>
      </c>
      <c r="G282" s="1" t="s">
        <v>1022</v>
      </c>
      <c r="H282" s="1" t="s">
        <v>1362</v>
      </c>
      <c r="I282" s="1" t="s">
        <v>1087</v>
      </c>
      <c r="J282">
        <v>2465</v>
      </c>
      <c r="K282" s="1" t="str">
        <f>VLOOKUP(uslugi413[[#This Row],[ozn]],$A$2:$D$410,2,FALSE)</f>
        <v>Zabrze</v>
      </c>
      <c r="L282" s="1">
        <f>IF(VLOOKUP(uslugi413[[#This Row],[ozn]],$A$2:$D$410,4,FALSE)="z",1,0)</f>
        <v>0</v>
      </c>
    </row>
    <row r="283" spans="1:12" x14ac:dyDescent="0.25">
      <c r="A283" s="2" t="s">
        <v>756</v>
      </c>
      <c r="B283" s="3" t="s">
        <v>757</v>
      </c>
      <c r="C283" s="3" t="s">
        <v>758</v>
      </c>
      <c r="D283" s="4" t="s">
        <v>7</v>
      </c>
      <c r="F283">
        <v>3783578981</v>
      </c>
      <c r="G283" s="1" t="s">
        <v>386</v>
      </c>
      <c r="H283" s="1" t="s">
        <v>1363</v>
      </c>
      <c r="I283" s="1" t="s">
        <v>1087</v>
      </c>
      <c r="J283">
        <v>2174</v>
      </c>
      <c r="K283" s="1" t="str">
        <f>VLOOKUP(uslugi413[[#This Row],[ozn]],$A$2:$D$410,2,FALSE)</f>
        <v>Leszno</v>
      </c>
      <c r="L283" s="1">
        <f>IF(VLOOKUP(uslugi413[[#This Row],[ozn]],$A$2:$D$410,4,FALSE)="z",1,0)</f>
        <v>0</v>
      </c>
    </row>
    <row r="284" spans="1:12" x14ac:dyDescent="0.25">
      <c r="A284" s="5" t="s">
        <v>759</v>
      </c>
      <c r="B284" s="6" t="s">
        <v>760</v>
      </c>
      <c r="C284" s="6" t="s">
        <v>761</v>
      </c>
      <c r="D284" s="7" t="s">
        <v>7</v>
      </c>
      <c r="F284">
        <v>4761158900</v>
      </c>
      <c r="G284" s="1" t="s">
        <v>29</v>
      </c>
      <c r="H284" s="1" t="s">
        <v>1364</v>
      </c>
      <c r="I284" s="1" t="s">
        <v>1081</v>
      </c>
      <c r="J284">
        <v>1812</v>
      </c>
      <c r="K284" s="1" t="str">
        <f>VLOOKUP(uslugi413[[#This Row],[ozn]],$A$2:$D$410,2,FALSE)</f>
        <v>bialostocki</v>
      </c>
      <c r="L284" s="1">
        <f>IF(VLOOKUP(uslugi413[[#This Row],[ozn]],$A$2:$D$410,4,FALSE)="z",1,0)</f>
        <v>1</v>
      </c>
    </row>
    <row r="285" spans="1:12" x14ac:dyDescent="0.25">
      <c r="A285" s="2" t="s">
        <v>762</v>
      </c>
      <c r="B285" s="3" t="s">
        <v>763</v>
      </c>
      <c r="C285" s="3" t="s">
        <v>763</v>
      </c>
      <c r="D285" s="4" t="s">
        <v>22</v>
      </c>
      <c r="F285">
        <v>4715154852</v>
      </c>
      <c r="G285" s="1" t="s">
        <v>1003</v>
      </c>
      <c r="H285" s="1" t="s">
        <v>1365</v>
      </c>
      <c r="I285" s="1" t="s">
        <v>1081</v>
      </c>
      <c r="J285">
        <v>2800</v>
      </c>
      <c r="K285" s="1" t="str">
        <f>VLOOKUP(uslugi413[[#This Row],[ozn]],$A$2:$D$410,2,FALSE)</f>
        <v>Wroclaw</v>
      </c>
      <c r="L285" s="1">
        <f>IF(VLOOKUP(uslugi413[[#This Row],[ozn]],$A$2:$D$410,4,FALSE)="z",1,0)</f>
        <v>0</v>
      </c>
    </row>
    <row r="286" spans="1:12" x14ac:dyDescent="0.25">
      <c r="A286" s="5" t="s">
        <v>764</v>
      </c>
      <c r="B286" s="6" t="s">
        <v>765</v>
      </c>
      <c r="C286" s="6" t="s">
        <v>763</v>
      </c>
      <c r="D286" s="7" t="s">
        <v>7</v>
      </c>
      <c r="F286">
        <v>2581219876</v>
      </c>
      <c r="G286" s="1" t="s">
        <v>141</v>
      </c>
      <c r="H286" s="1" t="s">
        <v>1366</v>
      </c>
      <c r="I286" s="1" t="s">
        <v>1087</v>
      </c>
      <c r="J286">
        <v>2478</v>
      </c>
      <c r="K286" s="1" t="str">
        <f>VLOOKUP(uslugi413[[#This Row],[ozn]],$A$2:$D$410,2,FALSE)</f>
        <v>elblaski</v>
      </c>
      <c r="L286" s="1">
        <f>IF(VLOOKUP(uslugi413[[#This Row],[ozn]],$A$2:$D$410,4,FALSE)="z",1,0)</f>
        <v>1</v>
      </c>
    </row>
    <row r="287" spans="1:12" x14ac:dyDescent="0.25">
      <c r="A287" s="2" t="s">
        <v>766</v>
      </c>
      <c r="B287" s="3" t="s">
        <v>767</v>
      </c>
      <c r="C287" s="3" t="s">
        <v>768</v>
      </c>
      <c r="D287" s="4" t="s">
        <v>7</v>
      </c>
      <c r="F287">
        <v>2245871126</v>
      </c>
      <c r="G287" s="1" t="s">
        <v>73</v>
      </c>
      <c r="H287" s="1" t="s">
        <v>1367</v>
      </c>
      <c r="I287" s="1" t="s">
        <v>1081</v>
      </c>
      <c r="J287">
        <v>2562</v>
      </c>
      <c r="K287" s="1" t="str">
        <f>VLOOKUP(uslugi413[[#This Row],[ozn]],$A$2:$D$410,2,FALSE)</f>
        <v>buski</v>
      </c>
      <c r="L287" s="1">
        <f>IF(VLOOKUP(uslugi413[[#This Row],[ozn]],$A$2:$D$410,4,FALSE)="z",1,0)</f>
        <v>1</v>
      </c>
    </row>
    <row r="288" spans="1:12" x14ac:dyDescent="0.25">
      <c r="A288" s="5" t="s">
        <v>769</v>
      </c>
      <c r="B288" s="6" t="s">
        <v>770</v>
      </c>
      <c r="C288" s="6" t="s">
        <v>771</v>
      </c>
      <c r="D288" s="7" t="s">
        <v>7</v>
      </c>
      <c r="F288">
        <v>6727559092</v>
      </c>
      <c r="G288" s="1" t="s">
        <v>562</v>
      </c>
      <c r="H288" s="1" t="s">
        <v>1368</v>
      </c>
      <c r="I288" s="1" t="s">
        <v>1087</v>
      </c>
      <c r="J288">
        <v>980</v>
      </c>
      <c r="K288" s="1" t="str">
        <f>VLOOKUP(uslugi413[[#This Row],[ozn]],$A$2:$D$410,2,FALSE)</f>
        <v>opolski</v>
      </c>
      <c r="L288" s="1">
        <f>IF(VLOOKUP(uslugi413[[#This Row],[ozn]],$A$2:$D$410,4,FALSE)="z",1,0)</f>
        <v>1</v>
      </c>
    </row>
    <row r="289" spans="1:12" x14ac:dyDescent="0.25">
      <c r="A289" s="2" t="s">
        <v>772</v>
      </c>
      <c r="B289" s="3" t="s">
        <v>773</v>
      </c>
      <c r="C289" s="3" t="s">
        <v>774</v>
      </c>
      <c r="D289" s="4" t="s">
        <v>7</v>
      </c>
      <c r="F289">
        <v>1361555378</v>
      </c>
      <c r="G289" s="1" t="s">
        <v>1022</v>
      </c>
      <c r="H289" s="1" t="s">
        <v>1369</v>
      </c>
      <c r="I289" s="1" t="s">
        <v>1087</v>
      </c>
      <c r="J289">
        <v>2325</v>
      </c>
      <c r="K289" s="1" t="str">
        <f>VLOOKUP(uslugi413[[#This Row],[ozn]],$A$2:$D$410,2,FALSE)</f>
        <v>Zabrze</v>
      </c>
      <c r="L289" s="1">
        <f>IF(VLOOKUP(uslugi413[[#This Row],[ozn]],$A$2:$D$410,4,FALSE)="z",1,0)</f>
        <v>0</v>
      </c>
    </row>
    <row r="290" spans="1:12" x14ac:dyDescent="0.25">
      <c r="A290" s="5" t="s">
        <v>775</v>
      </c>
      <c r="B290" s="6" t="s">
        <v>776</v>
      </c>
      <c r="C290" s="6" t="s">
        <v>776</v>
      </c>
      <c r="D290" s="7" t="s">
        <v>22</v>
      </c>
      <c r="F290">
        <v>5418968184</v>
      </c>
      <c r="G290" s="1" t="s">
        <v>1022</v>
      </c>
      <c r="H290" s="1" t="s">
        <v>1370</v>
      </c>
      <c r="I290" s="1" t="s">
        <v>1087</v>
      </c>
      <c r="J290">
        <v>1830</v>
      </c>
      <c r="K290" s="1" t="str">
        <f>VLOOKUP(uslugi413[[#This Row],[ozn]],$A$2:$D$410,2,FALSE)</f>
        <v>Zabrze</v>
      </c>
      <c r="L290" s="1">
        <f>IF(VLOOKUP(uslugi413[[#This Row],[ozn]],$A$2:$D$410,4,FALSE)="z",1,0)</f>
        <v>0</v>
      </c>
    </row>
    <row r="291" spans="1:12" x14ac:dyDescent="0.25">
      <c r="A291" s="2" t="s">
        <v>777</v>
      </c>
      <c r="B291" s="3" t="s">
        <v>778</v>
      </c>
      <c r="C291" s="3" t="s">
        <v>778</v>
      </c>
      <c r="D291" s="4" t="s">
        <v>22</v>
      </c>
      <c r="F291">
        <v>1165493421</v>
      </c>
      <c r="G291" s="1" t="s">
        <v>1022</v>
      </c>
      <c r="H291" s="1" t="s">
        <v>1371</v>
      </c>
      <c r="I291" s="1" t="s">
        <v>1081</v>
      </c>
      <c r="J291">
        <v>3122</v>
      </c>
      <c r="K291" s="1" t="str">
        <f>VLOOKUP(uslugi413[[#This Row],[ozn]],$A$2:$D$410,2,FALSE)</f>
        <v>Zabrze</v>
      </c>
      <c r="L291" s="1">
        <f>IF(VLOOKUP(uslugi413[[#This Row],[ozn]],$A$2:$D$410,4,FALSE)="z",1,0)</f>
        <v>0</v>
      </c>
    </row>
    <row r="292" spans="1:12" x14ac:dyDescent="0.25">
      <c r="A292" s="5" t="s">
        <v>779</v>
      </c>
      <c r="B292" s="6" t="s">
        <v>780</v>
      </c>
      <c r="C292" s="6" t="s">
        <v>781</v>
      </c>
      <c r="D292" s="7" t="s">
        <v>7</v>
      </c>
      <c r="F292">
        <v>1433397952</v>
      </c>
      <c r="G292" s="1" t="s">
        <v>314</v>
      </c>
      <c r="H292" s="1" t="s">
        <v>1372</v>
      </c>
      <c r="I292" s="1" t="s">
        <v>1081</v>
      </c>
      <c r="J292">
        <v>2660</v>
      </c>
      <c r="K292" s="1" t="str">
        <f>VLOOKUP(uslugi413[[#This Row],[ozn]],$A$2:$D$410,2,FALSE)</f>
        <v>Konin</v>
      </c>
      <c r="L292" s="1">
        <f>IF(VLOOKUP(uslugi413[[#This Row],[ozn]],$A$2:$D$410,4,FALSE)="z",1,0)</f>
        <v>0</v>
      </c>
    </row>
    <row r="293" spans="1:12" x14ac:dyDescent="0.25">
      <c r="A293" s="2" t="s">
        <v>782</v>
      </c>
      <c r="B293" s="3" t="s">
        <v>780</v>
      </c>
      <c r="C293" s="3" t="s">
        <v>783</v>
      </c>
      <c r="D293" s="4" t="s">
        <v>7</v>
      </c>
      <c r="F293">
        <v>6727559092</v>
      </c>
      <c r="G293" s="1" t="s">
        <v>864</v>
      </c>
      <c r="H293" s="1" t="s">
        <v>1373</v>
      </c>
      <c r="I293" s="1" t="s">
        <v>1081</v>
      </c>
      <c r="J293">
        <v>2822</v>
      </c>
      <c r="K293" s="1" t="str">
        <f>VLOOKUP(uslugi413[[#This Row],[ozn]],$A$2:$D$410,2,FALSE)</f>
        <v>tarnogorski</v>
      </c>
      <c r="L293" s="1">
        <f>IF(VLOOKUP(uslugi413[[#This Row],[ozn]],$A$2:$D$410,4,FALSE)="z",1,0)</f>
        <v>1</v>
      </c>
    </row>
    <row r="294" spans="1:12" x14ac:dyDescent="0.25">
      <c r="A294" s="5" t="s">
        <v>784</v>
      </c>
      <c r="B294" s="6" t="s">
        <v>785</v>
      </c>
      <c r="C294" s="6" t="s">
        <v>786</v>
      </c>
      <c r="D294" s="7" t="s">
        <v>7</v>
      </c>
      <c r="F294">
        <v>5514533376</v>
      </c>
      <c r="G294" s="1" t="s">
        <v>255</v>
      </c>
      <c r="H294" s="1" t="s">
        <v>1374</v>
      </c>
      <c r="I294" s="1" t="s">
        <v>1081</v>
      </c>
      <c r="J294">
        <v>2895</v>
      </c>
      <c r="K294" s="1" t="str">
        <f>VLOOKUP(uslugi413[[#This Row],[ozn]],$A$2:$D$410,2,FALSE)</f>
        <v>jeleniogorski</v>
      </c>
      <c r="L294" s="1">
        <f>IF(VLOOKUP(uslugi413[[#This Row],[ozn]],$A$2:$D$410,4,FALSE)="z",1,0)</f>
        <v>1</v>
      </c>
    </row>
    <row r="295" spans="1:12" x14ac:dyDescent="0.25">
      <c r="A295" s="2" t="s">
        <v>787</v>
      </c>
      <c r="B295" s="3" t="s">
        <v>788</v>
      </c>
      <c r="C295" s="3" t="s">
        <v>789</v>
      </c>
      <c r="D295" s="4" t="s">
        <v>7</v>
      </c>
      <c r="F295">
        <v>3866883575</v>
      </c>
      <c r="G295" s="1" t="s">
        <v>434</v>
      </c>
      <c r="H295" s="1" t="s">
        <v>1375</v>
      </c>
      <c r="I295" s="1" t="s">
        <v>1081</v>
      </c>
      <c r="J295">
        <v>2638</v>
      </c>
      <c r="K295" s="1" t="str">
        <f>VLOOKUP(uslugi413[[#This Row],[ozn]],$A$2:$D$410,2,FALSE)</f>
        <v>Lublin</v>
      </c>
      <c r="L295" s="1">
        <f>IF(VLOOKUP(uslugi413[[#This Row],[ozn]],$A$2:$D$410,4,FALSE)="z",1,0)</f>
        <v>0</v>
      </c>
    </row>
    <row r="296" spans="1:12" x14ac:dyDescent="0.25">
      <c r="A296" s="5" t="s">
        <v>790</v>
      </c>
      <c r="B296" s="6" t="s">
        <v>791</v>
      </c>
      <c r="C296" s="6" t="s">
        <v>792</v>
      </c>
      <c r="D296" s="7" t="s">
        <v>7</v>
      </c>
      <c r="F296">
        <v>1433397952</v>
      </c>
      <c r="G296" s="1" t="s">
        <v>314</v>
      </c>
      <c r="H296" s="1" t="s">
        <v>1376</v>
      </c>
      <c r="I296" s="1" t="s">
        <v>1081</v>
      </c>
      <c r="J296">
        <v>2018</v>
      </c>
      <c r="K296" s="1" t="str">
        <f>VLOOKUP(uslugi413[[#This Row],[ozn]],$A$2:$D$410,2,FALSE)</f>
        <v>Konin</v>
      </c>
      <c r="L296" s="1">
        <f>IF(VLOOKUP(uslugi413[[#This Row],[ozn]],$A$2:$D$410,4,FALSE)="z",1,0)</f>
        <v>0</v>
      </c>
    </row>
    <row r="297" spans="1:12" x14ac:dyDescent="0.25">
      <c r="A297" s="2" t="s">
        <v>793</v>
      </c>
      <c r="B297" s="3" t="s">
        <v>794</v>
      </c>
      <c r="C297" s="3" t="s">
        <v>795</v>
      </c>
      <c r="D297" s="4" t="s">
        <v>7</v>
      </c>
      <c r="F297">
        <v>4779174699</v>
      </c>
      <c r="G297" s="1" t="s">
        <v>1003</v>
      </c>
      <c r="H297" s="1" t="s">
        <v>1377</v>
      </c>
      <c r="I297" s="1" t="s">
        <v>1081</v>
      </c>
      <c r="J297">
        <v>1600</v>
      </c>
      <c r="K297" s="1" t="str">
        <f>VLOOKUP(uslugi413[[#This Row],[ozn]],$A$2:$D$410,2,FALSE)</f>
        <v>Wroclaw</v>
      </c>
      <c r="L297" s="1">
        <f>IF(VLOOKUP(uslugi413[[#This Row],[ozn]],$A$2:$D$410,4,FALSE)="z",1,0)</f>
        <v>0</v>
      </c>
    </row>
    <row r="298" spans="1:12" x14ac:dyDescent="0.25">
      <c r="A298" s="5" t="s">
        <v>796</v>
      </c>
      <c r="B298" s="6" t="s">
        <v>797</v>
      </c>
      <c r="C298" s="6" t="s">
        <v>798</v>
      </c>
      <c r="D298" s="7" t="s">
        <v>7</v>
      </c>
      <c r="F298">
        <v>4326751508</v>
      </c>
      <c r="G298" s="1" t="s">
        <v>386</v>
      </c>
      <c r="H298" s="1" t="s">
        <v>1378</v>
      </c>
      <c r="I298" s="1" t="s">
        <v>1081</v>
      </c>
      <c r="J298">
        <v>1800</v>
      </c>
      <c r="K298" s="1" t="str">
        <f>VLOOKUP(uslugi413[[#This Row],[ozn]],$A$2:$D$410,2,FALSE)</f>
        <v>Leszno</v>
      </c>
      <c r="L298" s="1">
        <f>IF(VLOOKUP(uslugi413[[#This Row],[ozn]],$A$2:$D$410,4,FALSE)="z",1,0)</f>
        <v>0</v>
      </c>
    </row>
    <row r="299" spans="1:12" x14ac:dyDescent="0.25">
      <c r="A299" s="2" t="s">
        <v>799</v>
      </c>
      <c r="B299" s="3" t="s">
        <v>800</v>
      </c>
      <c r="C299" s="3" t="s">
        <v>801</v>
      </c>
      <c r="D299" s="4" t="s">
        <v>7</v>
      </c>
      <c r="F299">
        <v>4761158900</v>
      </c>
      <c r="G299" s="1" t="s">
        <v>29</v>
      </c>
      <c r="H299" s="1" t="s">
        <v>1379</v>
      </c>
      <c r="I299" s="1" t="s">
        <v>1081</v>
      </c>
      <c r="J299">
        <v>3144</v>
      </c>
      <c r="K299" s="1" t="str">
        <f>VLOOKUP(uslugi413[[#This Row],[ozn]],$A$2:$D$410,2,FALSE)</f>
        <v>bialostocki</v>
      </c>
      <c r="L299" s="1">
        <f>IF(VLOOKUP(uslugi413[[#This Row],[ozn]],$A$2:$D$410,4,FALSE)="z",1,0)</f>
        <v>1</v>
      </c>
    </row>
    <row r="300" spans="1:12" x14ac:dyDescent="0.25">
      <c r="A300" s="5" t="s">
        <v>802</v>
      </c>
      <c r="B300" s="6" t="s">
        <v>803</v>
      </c>
      <c r="C300" s="6" t="s">
        <v>804</v>
      </c>
      <c r="D300" s="7" t="s">
        <v>7</v>
      </c>
      <c r="F300">
        <v>2119268767</v>
      </c>
      <c r="G300" s="1" t="s">
        <v>141</v>
      </c>
      <c r="H300" s="1" t="s">
        <v>1380</v>
      </c>
      <c r="I300" s="1" t="s">
        <v>1081</v>
      </c>
      <c r="J300">
        <v>1740</v>
      </c>
      <c r="K300" s="1" t="str">
        <f>VLOOKUP(uslugi413[[#This Row],[ozn]],$A$2:$D$410,2,FALSE)</f>
        <v>elblaski</v>
      </c>
      <c r="L300" s="1">
        <f>IF(VLOOKUP(uslugi413[[#This Row],[ozn]],$A$2:$D$410,4,FALSE)="z",1,0)</f>
        <v>1</v>
      </c>
    </row>
    <row r="301" spans="1:12" x14ac:dyDescent="0.25">
      <c r="A301" s="2" t="s">
        <v>805</v>
      </c>
      <c r="B301" s="3" t="s">
        <v>806</v>
      </c>
      <c r="C301" s="3" t="s">
        <v>807</v>
      </c>
      <c r="D301" s="4" t="s">
        <v>7</v>
      </c>
      <c r="F301">
        <v>2581219876</v>
      </c>
      <c r="G301" s="1" t="s">
        <v>141</v>
      </c>
      <c r="H301" s="1" t="s">
        <v>1381</v>
      </c>
      <c r="I301" s="1" t="s">
        <v>1081</v>
      </c>
      <c r="J301">
        <v>2490</v>
      </c>
      <c r="K301" s="1" t="str">
        <f>VLOOKUP(uslugi413[[#This Row],[ozn]],$A$2:$D$410,2,FALSE)</f>
        <v>elblaski</v>
      </c>
      <c r="L301" s="1">
        <f>IF(VLOOKUP(uslugi413[[#This Row],[ozn]],$A$2:$D$410,4,FALSE)="z",1,0)</f>
        <v>1</v>
      </c>
    </row>
    <row r="302" spans="1:12" x14ac:dyDescent="0.25">
      <c r="A302" s="5" t="s">
        <v>808</v>
      </c>
      <c r="B302" s="6" t="s">
        <v>809</v>
      </c>
      <c r="C302" s="6" t="s">
        <v>810</v>
      </c>
      <c r="D302" s="7" t="s">
        <v>7</v>
      </c>
      <c r="F302">
        <v>2281651150</v>
      </c>
      <c r="G302" s="1" t="s">
        <v>552</v>
      </c>
      <c r="H302" s="1" t="s">
        <v>1382</v>
      </c>
      <c r="I302" s="1" t="s">
        <v>1087</v>
      </c>
      <c r="J302">
        <v>2170</v>
      </c>
      <c r="K302" s="1" t="str">
        <f>VLOOKUP(uslugi413[[#This Row],[ozn]],$A$2:$D$410,2,FALSE)</f>
        <v>olsztynski</v>
      </c>
      <c r="L302" s="1">
        <f>IF(VLOOKUP(uslugi413[[#This Row],[ozn]],$A$2:$D$410,4,FALSE)="z",1,0)</f>
        <v>1</v>
      </c>
    </row>
    <row r="303" spans="1:12" x14ac:dyDescent="0.25">
      <c r="A303" s="2" t="s">
        <v>811</v>
      </c>
      <c r="B303" s="3" t="s">
        <v>812</v>
      </c>
      <c r="C303" s="3" t="s">
        <v>813</v>
      </c>
      <c r="D303" s="4" t="s">
        <v>7</v>
      </c>
      <c r="F303">
        <v>1599095267</v>
      </c>
      <c r="G303" s="1" t="s">
        <v>1022</v>
      </c>
      <c r="H303" s="1" t="s">
        <v>1383</v>
      </c>
      <c r="I303" s="1" t="s">
        <v>1081</v>
      </c>
      <c r="J303">
        <v>2238</v>
      </c>
      <c r="K303" s="1" t="str">
        <f>VLOOKUP(uslugi413[[#This Row],[ozn]],$A$2:$D$410,2,FALSE)</f>
        <v>Zabrze</v>
      </c>
      <c r="L303" s="1">
        <f>IF(VLOOKUP(uslugi413[[#This Row],[ozn]],$A$2:$D$410,4,FALSE)="z",1,0)</f>
        <v>0</v>
      </c>
    </row>
    <row r="304" spans="1:12" x14ac:dyDescent="0.25">
      <c r="A304" s="5" t="s">
        <v>814</v>
      </c>
      <c r="B304" s="6" t="s">
        <v>815</v>
      </c>
      <c r="C304" s="6" t="s">
        <v>816</v>
      </c>
      <c r="D304" s="7" t="s">
        <v>7</v>
      </c>
      <c r="F304">
        <v>3783578981</v>
      </c>
      <c r="G304" s="1" t="s">
        <v>386</v>
      </c>
      <c r="H304" s="1" t="s">
        <v>1384</v>
      </c>
      <c r="I304" s="1" t="s">
        <v>1087</v>
      </c>
      <c r="J304">
        <v>2642</v>
      </c>
      <c r="K304" s="1" t="str">
        <f>VLOOKUP(uslugi413[[#This Row],[ozn]],$A$2:$D$410,2,FALSE)</f>
        <v>Leszno</v>
      </c>
      <c r="L304" s="1">
        <f>IF(VLOOKUP(uslugi413[[#This Row],[ozn]],$A$2:$D$410,4,FALSE)="z",1,0)</f>
        <v>0</v>
      </c>
    </row>
    <row r="305" spans="1:12" x14ac:dyDescent="0.25">
      <c r="A305" s="2" t="s">
        <v>817</v>
      </c>
      <c r="B305" s="3" t="s">
        <v>818</v>
      </c>
      <c r="C305" s="3" t="s">
        <v>819</v>
      </c>
      <c r="D305" s="4" t="s">
        <v>7</v>
      </c>
      <c r="F305">
        <v>4779174699</v>
      </c>
      <c r="G305" s="1" t="s">
        <v>1003</v>
      </c>
      <c r="H305" s="1" t="s">
        <v>1385</v>
      </c>
      <c r="I305" s="1" t="s">
        <v>1081</v>
      </c>
      <c r="J305">
        <v>1575</v>
      </c>
      <c r="K305" s="1" t="str">
        <f>VLOOKUP(uslugi413[[#This Row],[ozn]],$A$2:$D$410,2,FALSE)</f>
        <v>Wroclaw</v>
      </c>
      <c r="L305" s="1">
        <f>IF(VLOOKUP(uslugi413[[#This Row],[ozn]],$A$2:$D$410,4,FALSE)="z",1,0)</f>
        <v>0</v>
      </c>
    </row>
    <row r="306" spans="1:12" x14ac:dyDescent="0.25">
      <c r="A306" s="5" t="s">
        <v>820</v>
      </c>
      <c r="B306" s="6" t="s">
        <v>821</v>
      </c>
      <c r="C306" s="6" t="s">
        <v>821</v>
      </c>
      <c r="D306" s="7" t="s">
        <v>22</v>
      </c>
      <c r="F306">
        <v>4580185570</v>
      </c>
      <c r="G306" s="1" t="s">
        <v>1022</v>
      </c>
      <c r="H306" s="1" t="s">
        <v>1386</v>
      </c>
      <c r="I306" s="1" t="s">
        <v>1081</v>
      </c>
      <c r="J306">
        <v>1623</v>
      </c>
      <c r="K306" s="1" t="str">
        <f>VLOOKUP(uslugi413[[#This Row],[ozn]],$A$2:$D$410,2,FALSE)</f>
        <v>Zabrze</v>
      </c>
      <c r="L306" s="1">
        <f>IF(VLOOKUP(uslugi413[[#This Row],[ozn]],$A$2:$D$410,4,FALSE)="z",1,0)</f>
        <v>0</v>
      </c>
    </row>
    <row r="307" spans="1:12" x14ac:dyDescent="0.25">
      <c r="A307" s="2" t="s">
        <v>822</v>
      </c>
      <c r="B307" s="3" t="s">
        <v>823</v>
      </c>
      <c r="C307" s="3" t="s">
        <v>821</v>
      </c>
      <c r="D307" s="4" t="s">
        <v>7</v>
      </c>
      <c r="F307">
        <v>6727559092</v>
      </c>
      <c r="G307" s="1" t="s">
        <v>864</v>
      </c>
      <c r="H307" s="1" t="s">
        <v>1387</v>
      </c>
      <c r="I307" s="1" t="s">
        <v>1087</v>
      </c>
      <c r="J307">
        <v>2550</v>
      </c>
      <c r="K307" s="1" t="str">
        <f>VLOOKUP(uslugi413[[#This Row],[ozn]],$A$2:$D$410,2,FALSE)</f>
        <v>tarnogorski</v>
      </c>
      <c r="L307" s="1">
        <f>IF(VLOOKUP(uslugi413[[#This Row],[ozn]],$A$2:$D$410,4,FALSE)="z",1,0)</f>
        <v>1</v>
      </c>
    </row>
    <row r="308" spans="1:12" x14ac:dyDescent="0.25">
      <c r="A308" s="5" t="s">
        <v>824</v>
      </c>
      <c r="B308" s="6" t="s">
        <v>825</v>
      </c>
      <c r="C308" s="6" t="s">
        <v>826</v>
      </c>
      <c r="D308" s="7" t="s">
        <v>7</v>
      </c>
      <c r="F308">
        <v>6727559092</v>
      </c>
      <c r="G308" s="1" t="s">
        <v>864</v>
      </c>
      <c r="H308" s="1" t="s">
        <v>1388</v>
      </c>
      <c r="I308" s="1" t="s">
        <v>1081</v>
      </c>
      <c r="J308">
        <v>2384</v>
      </c>
      <c r="K308" s="1" t="str">
        <f>VLOOKUP(uslugi413[[#This Row],[ozn]],$A$2:$D$410,2,FALSE)</f>
        <v>tarnogorski</v>
      </c>
      <c r="L308" s="1">
        <f>IF(VLOOKUP(uslugi413[[#This Row],[ozn]],$A$2:$D$410,4,FALSE)="z",1,0)</f>
        <v>1</v>
      </c>
    </row>
    <row r="309" spans="1:12" x14ac:dyDescent="0.25">
      <c r="A309" s="2" t="s">
        <v>827</v>
      </c>
      <c r="B309" s="3" t="s">
        <v>825</v>
      </c>
      <c r="C309" s="3" t="s">
        <v>828</v>
      </c>
      <c r="D309" s="4" t="s">
        <v>7</v>
      </c>
      <c r="F309">
        <v>5418968184</v>
      </c>
      <c r="G309" s="1" t="s">
        <v>708</v>
      </c>
      <c r="H309" s="1" t="s">
        <v>1389</v>
      </c>
      <c r="I309" s="1" t="s">
        <v>1087</v>
      </c>
      <c r="J309">
        <v>2364</v>
      </c>
      <c r="K309" s="1" t="str">
        <f>VLOOKUP(uslugi413[[#This Row],[ozn]],$A$2:$D$410,2,FALSE)</f>
        <v>Rybnik</v>
      </c>
      <c r="L309" s="1">
        <f>IF(VLOOKUP(uslugi413[[#This Row],[ozn]],$A$2:$D$410,4,FALSE)="z",1,0)</f>
        <v>0</v>
      </c>
    </row>
    <row r="310" spans="1:12" x14ac:dyDescent="0.25">
      <c r="A310" s="5" t="s">
        <v>829</v>
      </c>
      <c r="B310" s="6" t="s">
        <v>830</v>
      </c>
      <c r="C310" s="6" t="s">
        <v>831</v>
      </c>
      <c r="D310" s="7" t="s">
        <v>7</v>
      </c>
      <c r="F310">
        <v>5514533376</v>
      </c>
      <c r="G310" s="1" t="s">
        <v>255</v>
      </c>
      <c r="H310" s="1" t="s">
        <v>1390</v>
      </c>
      <c r="I310" s="1" t="s">
        <v>1081</v>
      </c>
      <c r="J310">
        <v>2642</v>
      </c>
      <c r="K310" s="1" t="str">
        <f>VLOOKUP(uslugi413[[#This Row],[ozn]],$A$2:$D$410,2,FALSE)</f>
        <v>jeleniogorski</v>
      </c>
      <c r="L310" s="1">
        <f>IF(VLOOKUP(uslugi413[[#This Row],[ozn]],$A$2:$D$410,4,FALSE)="z",1,0)</f>
        <v>1</v>
      </c>
    </row>
    <row r="311" spans="1:12" x14ac:dyDescent="0.25">
      <c r="A311" s="2" t="s">
        <v>832</v>
      </c>
      <c r="B311" s="3" t="s">
        <v>833</v>
      </c>
      <c r="C311" s="3" t="s">
        <v>834</v>
      </c>
      <c r="D311" s="4" t="s">
        <v>7</v>
      </c>
      <c r="F311">
        <v>3579231044</v>
      </c>
      <c r="G311" s="1" t="s">
        <v>370</v>
      </c>
      <c r="H311" s="1" t="s">
        <v>1391</v>
      </c>
      <c r="I311" s="1" t="s">
        <v>1081</v>
      </c>
      <c r="J311">
        <v>3002</v>
      </c>
      <c r="K311" s="1" t="str">
        <f>VLOOKUP(uslugi413[[#This Row],[ozn]],$A$2:$D$410,2,FALSE)</f>
        <v>leczynski</v>
      </c>
      <c r="L311" s="1">
        <f>IF(VLOOKUP(uslugi413[[#This Row],[ozn]],$A$2:$D$410,4,FALSE)="z",1,0)</f>
        <v>1</v>
      </c>
    </row>
    <row r="312" spans="1:12" x14ac:dyDescent="0.25">
      <c r="A312" s="5" t="s">
        <v>835</v>
      </c>
      <c r="B312" s="6" t="s">
        <v>836</v>
      </c>
      <c r="C312" s="6" t="s">
        <v>837</v>
      </c>
      <c r="D312" s="7" t="s">
        <v>7</v>
      </c>
      <c r="F312">
        <v>4458233905</v>
      </c>
      <c r="G312" s="1" t="s">
        <v>1003</v>
      </c>
      <c r="H312" s="1" t="s">
        <v>1392</v>
      </c>
      <c r="I312" s="1" t="s">
        <v>1081</v>
      </c>
      <c r="J312">
        <v>3128</v>
      </c>
      <c r="K312" s="1" t="str">
        <f>VLOOKUP(uslugi413[[#This Row],[ozn]],$A$2:$D$410,2,FALSE)</f>
        <v>Wroclaw</v>
      </c>
      <c r="L312" s="1">
        <f>IF(VLOOKUP(uslugi413[[#This Row],[ozn]],$A$2:$D$410,4,FALSE)="z",1,0)</f>
        <v>0</v>
      </c>
    </row>
    <row r="313" spans="1:12" x14ac:dyDescent="0.25">
      <c r="A313" s="2" t="s">
        <v>838</v>
      </c>
      <c r="B313" s="3" t="s">
        <v>839</v>
      </c>
      <c r="C313" s="3" t="s">
        <v>840</v>
      </c>
      <c r="D313" s="4" t="s">
        <v>22</v>
      </c>
      <c r="F313">
        <v>1939065269</v>
      </c>
      <c r="G313" s="1" t="s">
        <v>636</v>
      </c>
      <c r="H313" s="1" t="s">
        <v>1393</v>
      </c>
      <c r="I313" s="1" t="s">
        <v>1087</v>
      </c>
      <c r="J313">
        <v>1980</v>
      </c>
      <c r="K313" s="1" t="str">
        <f>VLOOKUP(uslugi413[[#This Row],[ozn]],$A$2:$D$410,2,FALSE)</f>
        <v>Poznan</v>
      </c>
      <c r="L313" s="1">
        <f>IF(VLOOKUP(uslugi413[[#This Row],[ozn]],$A$2:$D$410,4,FALSE)="z",1,0)</f>
        <v>0</v>
      </c>
    </row>
    <row r="314" spans="1:12" x14ac:dyDescent="0.25">
      <c r="A314" s="5" t="s">
        <v>841</v>
      </c>
      <c r="B314" s="6" t="s">
        <v>842</v>
      </c>
      <c r="C314" s="6" t="s">
        <v>842</v>
      </c>
      <c r="D314" s="7" t="s">
        <v>22</v>
      </c>
      <c r="F314">
        <v>3345883725</v>
      </c>
      <c r="G314" s="1" t="s">
        <v>428</v>
      </c>
      <c r="H314" s="1" t="s">
        <v>1394</v>
      </c>
      <c r="I314" s="1" t="s">
        <v>1087</v>
      </c>
      <c r="J314">
        <v>2784</v>
      </c>
      <c r="K314" s="1" t="str">
        <f>VLOOKUP(uslugi413[[#This Row],[ozn]],$A$2:$D$410,2,FALSE)</f>
        <v>lubelski</v>
      </c>
      <c r="L314" s="1">
        <f>IF(VLOOKUP(uslugi413[[#This Row],[ozn]],$A$2:$D$410,4,FALSE)="z",1,0)</f>
        <v>1</v>
      </c>
    </row>
    <row r="315" spans="1:12" x14ac:dyDescent="0.25">
      <c r="A315" s="2" t="s">
        <v>843</v>
      </c>
      <c r="B315" s="3" t="s">
        <v>844</v>
      </c>
      <c r="C315" s="3" t="s">
        <v>845</v>
      </c>
      <c r="D315" s="4" t="s">
        <v>7</v>
      </c>
      <c r="F315">
        <v>3357631311</v>
      </c>
      <c r="G315" s="1" t="s">
        <v>1030</v>
      </c>
      <c r="H315" s="1" t="s">
        <v>1395</v>
      </c>
      <c r="I315" s="1" t="s">
        <v>1081</v>
      </c>
      <c r="J315">
        <v>2014</v>
      </c>
      <c r="K315" s="1" t="str">
        <f>VLOOKUP(uslugi413[[#This Row],[ozn]],$A$2:$D$410,2,FALSE)</f>
        <v>zamojski</v>
      </c>
      <c r="L315" s="1">
        <f>IF(VLOOKUP(uslugi413[[#This Row],[ozn]],$A$2:$D$410,4,FALSE)="z",1,0)</f>
        <v>1</v>
      </c>
    </row>
    <row r="316" spans="1:12" x14ac:dyDescent="0.25">
      <c r="A316" s="5" t="s">
        <v>846</v>
      </c>
      <c r="B316" s="6" t="s">
        <v>847</v>
      </c>
      <c r="C316" s="6" t="s">
        <v>847</v>
      </c>
      <c r="D316" s="7" t="s">
        <v>22</v>
      </c>
      <c r="F316">
        <v>2869229213</v>
      </c>
      <c r="G316" s="1" t="s">
        <v>708</v>
      </c>
      <c r="H316" s="1" t="s">
        <v>1396</v>
      </c>
      <c r="I316" s="1" t="s">
        <v>1087</v>
      </c>
      <c r="J316">
        <v>1280</v>
      </c>
      <c r="K316" s="1" t="str">
        <f>VLOOKUP(uslugi413[[#This Row],[ozn]],$A$2:$D$410,2,FALSE)</f>
        <v>Rybnik</v>
      </c>
      <c r="L316" s="1">
        <f>IF(VLOOKUP(uslugi413[[#This Row],[ozn]],$A$2:$D$410,4,FALSE)="z",1,0)</f>
        <v>0</v>
      </c>
    </row>
    <row r="317" spans="1:12" x14ac:dyDescent="0.25">
      <c r="A317" s="2" t="s">
        <v>848</v>
      </c>
      <c r="B317" s="3" t="s">
        <v>849</v>
      </c>
      <c r="C317" s="3" t="s">
        <v>850</v>
      </c>
      <c r="D317" s="4" t="s">
        <v>7</v>
      </c>
      <c r="F317">
        <v>1599095267</v>
      </c>
      <c r="G317" s="1" t="s">
        <v>708</v>
      </c>
      <c r="H317" s="1" t="s">
        <v>1397</v>
      </c>
      <c r="I317" s="1" t="s">
        <v>1087</v>
      </c>
      <c r="J317">
        <v>2796</v>
      </c>
      <c r="K317" s="1" t="str">
        <f>VLOOKUP(uslugi413[[#This Row],[ozn]],$A$2:$D$410,2,FALSE)</f>
        <v>Rybnik</v>
      </c>
      <c r="L317" s="1">
        <f>IF(VLOOKUP(uslugi413[[#This Row],[ozn]],$A$2:$D$410,4,FALSE)="z",1,0)</f>
        <v>0</v>
      </c>
    </row>
    <row r="318" spans="1:12" x14ac:dyDescent="0.25">
      <c r="A318" s="5" t="s">
        <v>851</v>
      </c>
      <c r="B318" s="6" t="s">
        <v>852</v>
      </c>
      <c r="C318" s="6" t="s">
        <v>853</v>
      </c>
      <c r="D318" s="7" t="s">
        <v>7</v>
      </c>
      <c r="F318">
        <v>3678947206</v>
      </c>
      <c r="G318" s="1" t="s">
        <v>527</v>
      </c>
      <c r="H318" s="1" t="s">
        <v>1398</v>
      </c>
      <c r="I318" s="1" t="s">
        <v>1087</v>
      </c>
      <c r="J318">
        <v>2475</v>
      </c>
      <c r="K318" s="1" t="str">
        <f>VLOOKUP(uslugi413[[#This Row],[ozn]],$A$2:$D$410,2,FALSE)</f>
        <v>nyski</v>
      </c>
      <c r="L318" s="1">
        <f>IF(VLOOKUP(uslugi413[[#This Row],[ozn]],$A$2:$D$410,4,FALSE)="z",1,0)</f>
        <v>1</v>
      </c>
    </row>
    <row r="319" spans="1:12" x14ac:dyDescent="0.25">
      <c r="A319" s="2" t="s">
        <v>854</v>
      </c>
      <c r="B319" s="3" t="s">
        <v>855</v>
      </c>
      <c r="C319" s="3" t="s">
        <v>856</v>
      </c>
      <c r="D319" s="4" t="s">
        <v>7</v>
      </c>
      <c r="F319">
        <v>2245871126</v>
      </c>
      <c r="G319" s="1" t="s">
        <v>73</v>
      </c>
      <c r="H319" s="1" t="s">
        <v>1399</v>
      </c>
      <c r="I319" s="1" t="s">
        <v>1087</v>
      </c>
      <c r="J319">
        <v>1806</v>
      </c>
      <c r="K319" s="1" t="str">
        <f>VLOOKUP(uslugi413[[#This Row],[ozn]],$A$2:$D$410,2,FALSE)</f>
        <v>buski</v>
      </c>
      <c r="L319" s="1">
        <f>IF(VLOOKUP(uslugi413[[#This Row],[ozn]],$A$2:$D$410,4,FALSE)="z",1,0)</f>
        <v>1</v>
      </c>
    </row>
    <row r="320" spans="1:12" x14ac:dyDescent="0.25">
      <c r="A320" s="5" t="s">
        <v>857</v>
      </c>
      <c r="B320" s="6" t="s">
        <v>858</v>
      </c>
      <c r="C320" s="6" t="s">
        <v>859</v>
      </c>
      <c r="D320" s="7" t="s">
        <v>7</v>
      </c>
      <c r="F320">
        <v>5115061689</v>
      </c>
      <c r="G320" s="1" t="s">
        <v>704</v>
      </c>
      <c r="H320" s="1" t="s">
        <v>1400</v>
      </c>
      <c r="I320" s="1" t="s">
        <v>1087</v>
      </c>
      <c r="J320">
        <v>2595</v>
      </c>
      <c r="K320" s="1" t="str">
        <f>VLOOKUP(uslugi413[[#This Row],[ozn]],$A$2:$D$410,2,FALSE)</f>
        <v>Ruda Slaska</v>
      </c>
      <c r="L320" s="1">
        <f>IF(VLOOKUP(uslugi413[[#This Row],[ozn]],$A$2:$D$410,4,FALSE)="z",1,0)</f>
        <v>0</v>
      </c>
    </row>
    <row r="321" spans="1:12" x14ac:dyDescent="0.25">
      <c r="A321" s="2" t="s">
        <v>860</v>
      </c>
      <c r="B321" s="3" t="s">
        <v>861</v>
      </c>
      <c r="C321" s="3" t="s">
        <v>861</v>
      </c>
      <c r="D321" s="4" t="s">
        <v>22</v>
      </c>
      <c r="F321">
        <v>1620242236</v>
      </c>
      <c r="G321" s="1" t="s">
        <v>314</v>
      </c>
      <c r="H321" s="1" t="s">
        <v>1401</v>
      </c>
      <c r="I321" s="1" t="s">
        <v>1081</v>
      </c>
      <c r="J321">
        <v>2836</v>
      </c>
      <c r="K321" s="1" t="str">
        <f>VLOOKUP(uslugi413[[#This Row],[ozn]],$A$2:$D$410,2,FALSE)</f>
        <v>Konin</v>
      </c>
      <c r="L321" s="1">
        <f>IF(VLOOKUP(uslugi413[[#This Row],[ozn]],$A$2:$D$410,4,FALSE)="z",1,0)</f>
        <v>0</v>
      </c>
    </row>
    <row r="322" spans="1:12" x14ac:dyDescent="0.25">
      <c r="A322" s="5" t="s">
        <v>862</v>
      </c>
      <c r="B322" s="6" t="s">
        <v>863</v>
      </c>
      <c r="C322" s="6" t="s">
        <v>861</v>
      </c>
      <c r="D322" s="7" t="s">
        <v>7</v>
      </c>
      <c r="F322">
        <v>3318203338</v>
      </c>
      <c r="G322" s="1" t="s">
        <v>708</v>
      </c>
      <c r="H322" s="1" t="s">
        <v>1402</v>
      </c>
      <c r="I322" s="1" t="s">
        <v>1087</v>
      </c>
      <c r="J322">
        <v>2349</v>
      </c>
      <c r="K322" s="1" t="str">
        <f>VLOOKUP(uslugi413[[#This Row],[ozn]],$A$2:$D$410,2,FALSE)</f>
        <v>Rybnik</v>
      </c>
      <c r="L322" s="1">
        <f>IF(VLOOKUP(uslugi413[[#This Row],[ozn]],$A$2:$D$410,4,FALSE)="z",1,0)</f>
        <v>0</v>
      </c>
    </row>
    <row r="323" spans="1:12" x14ac:dyDescent="0.25">
      <c r="A323" s="2" t="s">
        <v>864</v>
      </c>
      <c r="B323" s="3" t="s">
        <v>865</v>
      </c>
      <c r="C323" s="3" t="s">
        <v>866</v>
      </c>
      <c r="D323" s="4" t="s">
        <v>7</v>
      </c>
      <c r="F323">
        <v>3357631311</v>
      </c>
      <c r="G323" s="1" t="s">
        <v>1030</v>
      </c>
      <c r="H323" s="1" t="s">
        <v>1403</v>
      </c>
      <c r="I323" s="1" t="s">
        <v>1087</v>
      </c>
      <c r="J323">
        <v>2870</v>
      </c>
      <c r="K323" s="1" t="str">
        <f>VLOOKUP(uslugi413[[#This Row],[ozn]],$A$2:$D$410,2,FALSE)</f>
        <v>zamojski</v>
      </c>
      <c r="L323" s="1">
        <f>IF(VLOOKUP(uslugi413[[#This Row],[ozn]],$A$2:$D$410,4,FALSE)="z",1,0)</f>
        <v>1</v>
      </c>
    </row>
    <row r="324" spans="1:12" x14ac:dyDescent="0.25">
      <c r="A324" s="5" t="s">
        <v>867</v>
      </c>
      <c r="B324" s="6" t="s">
        <v>868</v>
      </c>
      <c r="C324" s="6" t="s">
        <v>868</v>
      </c>
      <c r="D324" s="7" t="s">
        <v>22</v>
      </c>
      <c r="F324">
        <v>4580185570</v>
      </c>
      <c r="G324" s="1" t="s">
        <v>708</v>
      </c>
      <c r="H324" s="1" t="s">
        <v>1404</v>
      </c>
      <c r="I324" s="1" t="s">
        <v>1087</v>
      </c>
      <c r="J324">
        <v>2616</v>
      </c>
      <c r="K324" s="1" t="str">
        <f>VLOOKUP(uslugi413[[#This Row],[ozn]],$A$2:$D$410,2,FALSE)</f>
        <v>Rybnik</v>
      </c>
      <c r="L324" s="1">
        <f>IF(VLOOKUP(uslugi413[[#This Row],[ozn]],$A$2:$D$410,4,FALSE)="z",1,0)</f>
        <v>0</v>
      </c>
    </row>
    <row r="325" spans="1:12" x14ac:dyDescent="0.25">
      <c r="A325" s="2" t="s">
        <v>869</v>
      </c>
      <c r="B325" s="3" t="s">
        <v>870</v>
      </c>
      <c r="C325" s="3" t="s">
        <v>868</v>
      </c>
      <c r="D325" s="4" t="s">
        <v>7</v>
      </c>
      <c r="F325">
        <v>6758177505</v>
      </c>
      <c r="G325" s="1" t="s">
        <v>864</v>
      </c>
      <c r="H325" s="1" t="s">
        <v>1405</v>
      </c>
      <c r="I325" s="1" t="s">
        <v>1081</v>
      </c>
      <c r="J325">
        <v>2523</v>
      </c>
      <c r="K325" s="1" t="str">
        <f>VLOOKUP(uslugi413[[#This Row],[ozn]],$A$2:$D$410,2,FALSE)</f>
        <v>tarnogorski</v>
      </c>
      <c r="L325" s="1">
        <f>IF(VLOOKUP(uslugi413[[#This Row],[ozn]],$A$2:$D$410,4,FALSE)="z",1,0)</f>
        <v>1</v>
      </c>
    </row>
    <row r="326" spans="1:12" x14ac:dyDescent="0.25">
      <c r="A326" s="5" t="s">
        <v>871</v>
      </c>
      <c r="B326" s="6" t="s">
        <v>872</v>
      </c>
      <c r="C326" s="6" t="s">
        <v>873</v>
      </c>
      <c r="D326" s="7" t="s">
        <v>7</v>
      </c>
      <c r="F326">
        <v>3568004264</v>
      </c>
      <c r="G326" s="1" t="s">
        <v>428</v>
      </c>
      <c r="H326" s="1" t="s">
        <v>1406</v>
      </c>
      <c r="I326" s="1" t="s">
        <v>1081</v>
      </c>
      <c r="J326">
        <v>2060</v>
      </c>
      <c r="K326" s="1" t="str">
        <f>VLOOKUP(uslugi413[[#This Row],[ozn]],$A$2:$D$410,2,FALSE)</f>
        <v>lubelski</v>
      </c>
      <c r="L326" s="1">
        <f>IF(VLOOKUP(uslugi413[[#This Row],[ozn]],$A$2:$D$410,4,FALSE)="z",1,0)</f>
        <v>1</v>
      </c>
    </row>
    <row r="327" spans="1:12" x14ac:dyDescent="0.25">
      <c r="A327" s="2" t="s">
        <v>874</v>
      </c>
      <c r="B327" s="3" t="s">
        <v>875</v>
      </c>
      <c r="C327" s="3" t="s">
        <v>876</v>
      </c>
      <c r="D327" s="4" t="s">
        <v>7</v>
      </c>
      <c r="F327">
        <v>3470453173</v>
      </c>
      <c r="G327" s="1" t="s">
        <v>85</v>
      </c>
      <c r="H327" s="1" t="s">
        <v>1407</v>
      </c>
      <c r="I327" s="1" t="s">
        <v>1087</v>
      </c>
      <c r="J327">
        <v>2151</v>
      </c>
      <c r="K327" s="1" t="str">
        <f>VLOOKUP(uslugi413[[#This Row],[ozn]],$A$2:$D$410,2,FALSE)</f>
        <v>Chelm</v>
      </c>
      <c r="L327" s="1">
        <f>IF(VLOOKUP(uslugi413[[#This Row],[ozn]],$A$2:$D$410,4,FALSE)="z",1,0)</f>
        <v>0</v>
      </c>
    </row>
    <row r="328" spans="1:12" x14ac:dyDescent="0.25">
      <c r="A328" s="5" t="s">
        <v>877</v>
      </c>
      <c r="B328" s="6" t="s">
        <v>878</v>
      </c>
      <c r="C328" s="6" t="s">
        <v>879</v>
      </c>
      <c r="D328" s="7" t="s">
        <v>7</v>
      </c>
      <c r="F328">
        <v>3866883575</v>
      </c>
      <c r="G328" s="1" t="s">
        <v>434</v>
      </c>
      <c r="H328" s="1" t="s">
        <v>1408</v>
      </c>
      <c r="I328" s="1" t="s">
        <v>1087</v>
      </c>
      <c r="J328">
        <v>2818</v>
      </c>
      <c r="K328" s="1" t="str">
        <f>VLOOKUP(uslugi413[[#This Row],[ozn]],$A$2:$D$410,2,FALSE)</f>
        <v>Lublin</v>
      </c>
      <c r="L328" s="1">
        <f>IF(VLOOKUP(uslugi413[[#This Row],[ozn]],$A$2:$D$410,4,FALSE)="z",1,0)</f>
        <v>0</v>
      </c>
    </row>
    <row r="329" spans="1:12" x14ac:dyDescent="0.25">
      <c r="A329" s="2" t="s">
        <v>880</v>
      </c>
      <c r="B329" s="3" t="s">
        <v>878</v>
      </c>
      <c r="C329" s="3" t="s">
        <v>881</v>
      </c>
      <c r="D329" s="4" t="s">
        <v>7</v>
      </c>
      <c r="F329">
        <v>1433397952</v>
      </c>
      <c r="G329" s="1" t="s">
        <v>314</v>
      </c>
      <c r="H329" s="1" t="s">
        <v>1409</v>
      </c>
      <c r="I329" s="1" t="s">
        <v>1087</v>
      </c>
      <c r="J329">
        <v>1851</v>
      </c>
      <c r="K329" s="1" t="str">
        <f>VLOOKUP(uslugi413[[#This Row],[ozn]],$A$2:$D$410,2,FALSE)</f>
        <v>Konin</v>
      </c>
      <c r="L329" s="1">
        <f>IF(VLOOKUP(uslugi413[[#This Row],[ozn]],$A$2:$D$410,4,FALSE)="z",1,0)</f>
        <v>0</v>
      </c>
    </row>
    <row r="330" spans="1:12" x14ac:dyDescent="0.25">
      <c r="A330" s="5" t="s">
        <v>882</v>
      </c>
      <c r="B330" s="6" t="s">
        <v>883</v>
      </c>
      <c r="C330" s="6" t="s">
        <v>883</v>
      </c>
      <c r="D330" s="7" t="s">
        <v>22</v>
      </c>
      <c r="F330">
        <v>3470453173</v>
      </c>
      <c r="G330" s="1" t="s">
        <v>85</v>
      </c>
      <c r="H330" s="1" t="s">
        <v>1410</v>
      </c>
      <c r="I330" s="1" t="s">
        <v>1081</v>
      </c>
      <c r="J330">
        <v>2062</v>
      </c>
      <c r="K330" s="1" t="str">
        <f>VLOOKUP(uslugi413[[#This Row],[ozn]],$A$2:$D$410,2,FALSE)</f>
        <v>Chelm</v>
      </c>
      <c r="L330" s="1">
        <f>IF(VLOOKUP(uslugi413[[#This Row],[ozn]],$A$2:$D$410,4,FALSE)="z",1,0)</f>
        <v>0</v>
      </c>
    </row>
    <row r="331" spans="1:12" x14ac:dyDescent="0.25">
      <c r="A331" s="2" t="s">
        <v>884</v>
      </c>
      <c r="B331" s="3" t="s">
        <v>885</v>
      </c>
      <c r="C331" s="3" t="s">
        <v>883</v>
      </c>
      <c r="D331" s="4" t="s">
        <v>7</v>
      </c>
      <c r="F331">
        <v>6758177505</v>
      </c>
      <c r="G331" s="1" t="s">
        <v>864</v>
      </c>
      <c r="H331" s="1" t="s">
        <v>1411</v>
      </c>
      <c r="I331" s="1" t="s">
        <v>1087</v>
      </c>
      <c r="J331">
        <v>2258</v>
      </c>
      <c r="K331" s="1" t="str">
        <f>VLOOKUP(uslugi413[[#This Row],[ozn]],$A$2:$D$410,2,FALSE)</f>
        <v>tarnogorski</v>
      </c>
      <c r="L331" s="1">
        <f>IF(VLOOKUP(uslugi413[[#This Row],[ozn]],$A$2:$D$410,4,FALSE)="z",1,0)</f>
        <v>1</v>
      </c>
    </row>
    <row r="332" spans="1:12" x14ac:dyDescent="0.25">
      <c r="A332" s="5" t="s">
        <v>886</v>
      </c>
      <c r="B332" s="6" t="s">
        <v>887</v>
      </c>
      <c r="C332" s="6" t="s">
        <v>888</v>
      </c>
      <c r="D332" s="7" t="s">
        <v>7</v>
      </c>
      <c r="F332">
        <v>5266741491</v>
      </c>
      <c r="G332" s="1" t="s">
        <v>708</v>
      </c>
      <c r="H332" s="1" t="s">
        <v>1412</v>
      </c>
      <c r="I332" s="1" t="s">
        <v>1087</v>
      </c>
      <c r="J332">
        <v>1774</v>
      </c>
      <c r="K332" s="1" t="str">
        <f>VLOOKUP(uslugi413[[#This Row],[ozn]],$A$2:$D$410,2,FALSE)</f>
        <v>Rybnik</v>
      </c>
      <c r="L332" s="1">
        <f>IF(VLOOKUP(uslugi413[[#This Row],[ozn]],$A$2:$D$410,4,FALSE)="z",1,0)</f>
        <v>0</v>
      </c>
    </row>
    <row r="333" spans="1:12" x14ac:dyDescent="0.25">
      <c r="A333" s="2" t="s">
        <v>889</v>
      </c>
      <c r="B333" s="3" t="s">
        <v>890</v>
      </c>
      <c r="C333" s="3" t="s">
        <v>891</v>
      </c>
      <c r="D333" s="4" t="s">
        <v>7</v>
      </c>
      <c r="F333">
        <v>2214740049</v>
      </c>
      <c r="G333" s="1" t="s">
        <v>56</v>
      </c>
      <c r="H333" s="1" t="s">
        <v>1413</v>
      </c>
      <c r="I333" s="1" t="s">
        <v>1087</v>
      </c>
      <c r="J333">
        <v>2066</v>
      </c>
      <c r="K333" s="1" t="str">
        <f>VLOOKUP(uslugi413[[#This Row],[ozn]],$A$2:$D$410,2,FALSE)</f>
        <v>braniewski</v>
      </c>
      <c r="L333" s="1">
        <f>IF(VLOOKUP(uslugi413[[#This Row],[ozn]],$A$2:$D$410,4,FALSE)="z",1,0)</f>
        <v>1</v>
      </c>
    </row>
    <row r="334" spans="1:12" x14ac:dyDescent="0.25">
      <c r="A334" s="5" t="s">
        <v>892</v>
      </c>
      <c r="B334" s="6" t="s">
        <v>893</v>
      </c>
      <c r="C334" s="6" t="s">
        <v>894</v>
      </c>
      <c r="D334" s="7" t="s">
        <v>7</v>
      </c>
      <c r="F334">
        <v>1433397952</v>
      </c>
      <c r="G334" s="1" t="s">
        <v>314</v>
      </c>
      <c r="H334" s="1" t="s">
        <v>1414</v>
      </c>
      <c r="I334" s="1" t="s">
        <v>1087</v>
      </c>
      <c r="J334">
        <v>1626</v>
      </c>
      <c r="K334" s="1" t="str">
        <f>VLOOKUP(uslugi413[[#This Row],[ozn]],$A$2:$D$410,2,FALSE)</f>
        <v>Konin</v>
      </c>
      <c r="L334" s="1">
        <f>IF(VLOOKUP(uslugi413[[#This Row],[ozn]],$A$2:$D$410,4,FALSE)="z",1,0)</f>
        <v>0</v>
      </c>
    </row>
    <row r="335" spans="1:12" x14ac:dyDescent="0.25">
      <c r="A335" s="2" t="s">
        <v>895</v>
      </c>
      <c r="B335" s="3" t="s">
        <v>896</v>
      </c>
      <c r="C335" s="3" t="s">
        <v>896</v>
      </c>
      <c r="D335" s="4" t="s">
        <v>22</v>
      </c>
      <c r="F335">
        <v>4326751508</v>
      </c>
      <c r="G335" s="1" t="s">
        <v>255</v>
      </c>
      <c r="H335" s="1" t="s">
        <v>1415</v>
      </c>
      <c r="I335" s="1" t="s">
        <v>1087</v>
      </c>
      <c r="J335">
        <v>1601</v>
      </c>
      <c r="K335" s="1" t="str">
        <f>VLOOKUP(uslugi413[[#This Row],[ozn]],$A$2:$D$410,2,FALSE)</f>
        <v>jeleniogorski</v>
      </c>
      <c r="L335" s="1">
        <f>IF(VLOOKUP(uslugi413[[#This Row],[ozn]],$A$2:$D$410,4,FALSE)="z",1,0)</f>
        <v>1</v>
      </c>
    </row>
    <row r="336" spans="1:12" x14ac:dyDescent="0.25">
      <c r="A336" s="5" t="s">
        <v>897</v>
      </c>
      <c r="B336" s="6" t="s">
        <v>898</v>
      </c>
      <c r="C336" s="6" t="s">
        <v>896</v>
      </c>
      <c r="D336" s="7" t="s">
        <v>7</v>
      </c>
      <c r="F336">
        <v>1433397952</v>
      </c>
      <c r="G336" s="1" t="s">
        <v>314</v>
      </c>
      <c r="H336" s="1" t="s">
        <v>1416</v>
      </c>
      <c r="I336" s="1" t="s">
        <v>1087</v>
      </c>
      <c r="J336">
        <v>2865</v>
      </c>
      <c r="K336" s="1" t="str">
        <f>VLOOKUP(uslugi413[[#This Row],[ozn]],$A$2:$D$410,2,FALSE)</f>
        <v>Konin</v>
      </c>
      <c r="L336" s="1">
        <f>IF(VLOOKUP(uslugi413[[#This Row],[ozn]],$A$2:$D$410,4,FALSE)="z",1,0)</f>
        <v>0</v>
      </c>
    </row>
    <row r="337" spans="1:12" x14ac:dyDescent="0.25">
      <c r="A337" s="2" t="s">
        <v>899</v>
      </c>
      <c r="B337" s="3" t="s">
        <v>900</v>
      </c>
      <c r="C337" s="3" t="s">
        <v>901</v>
      </c>
      <c r="D337" s="4" t="s">
        <v>7</v>
      </c>
      <c r="F337">
        <v>2281651150</v>
      </c>
      <c r="G337" s="1" t="s">
        <v>552</v>
      </c>
      <c r="H337" s="1" t="s">
        <v>1417</v>
      </c>
      <c r="I337" s="1" t="s">
        <v>1081</v>
      </c>
      <c r="J337">
        <v>2136</v>
      </c>
      <c r="K337" s="1" t="str">
        <f>VLOOKUP(uslugi413[[#This Row],[ozn]],$A$2:$D$410,2,FALSE)</f>
        <v>olsztynski</v>
      </c>
      <c r="L337" s="1">
        <f>IF(VLOOKUP(uslugi413[[#This Row],[ozn]],$A$2:$D$410,4,FALSE)="z",1,0)</f>
        <v>1</v>
      </c>
    </row>
    <row r="338" spans="1:12" x14ac:dyDescent="0.25">
      <c r="A338" s="5" t="s">
        <v>902</v>
      </c>
      <c r="B338" s="6" t="s">
        <v>903</v>
      </c>
      <c r="C338" s="6" t="s">
        <v>904</v>
      </c>
      <c r="D338" s="7" t="s">
        <v>7</v>
      </c>
      <c r="F338">
        <v>5581610439</v>
      </c>
      <c r="G338" s="1" t="s">
        <v>602</v>
      </c>
      <c r="H338" s="1" t="s">
        <v>1418</v>
      </c>
      <c r="I338" s="1" t="s">
        <v>1087</v>
      </c>
      <c r="J338">
        <v>2316</v>
      </c>
      <c r="K338" s="1" t="str">
        <f>VLOOKUP(uslugi413[[#This Row],[ozn]],$A$2:$D$410,2,FALSE)</f>
        <v>Piekary Slaskie</v>
      </c>
      <c r="L338" s="1">
        <f>IF(VLOOKUP(uslugi413[[#This Row],[ozn]],$A$2:$D$410,4,FALSE)="z",1,0)</f>
        <v>0</v>
      </c>
    </row>
    <row r="339" spans="1:12" x14ac:dyDescent="0.25">
      <c r="A339" s="2" t="s">
        <v>905</v>
      </c>
      <c r="B339" s="3" t="s">
        <v>906</v>
      </c>
      <c r="C339" s="3" t="s">
        <v>907</v>
      </c>
      <c r="D339" s="4" t="s">
        <v>7</v>
      </c>
    </row>
    <row r="340" spans="1:12" x14ac:dyDescent="0.25">
      <c r="A340" s="5" t="s">
        <v>908</v>
      </c>
      <c r="B340" s="6" t="s">
        <v>909</v>
      </c>
      <c r="C340" s="6" t="s">
        <v>909</v>
      </c>
      <c r="D340" s="7" t="s">
        <v>22</v>
      </c>
    </row>
    <row r="341" spans="1:12" x14ac:dyDescent="0.25">
      <c r="A341" s="2" t="s">
        <v>910</v>
      </c>
      <c r="B341" s="3" t="s">
        <v>911</v>
      </c>
      <c r="C341" s="3" t="s">
        <v>909</v>
      </c>
      <c r="D341" s="4" t="s">
        <v>7</v>
      </c>
    </row>
    <row r="342" spans="1:12" x14ac:dyDescent="0.25">
      <c r="A342" s="5" t="s">
        <v>912</v>
      </c>
      <c r="B342" s="6" t="s">
        <v>913</v>
      </c>
      <c r="C342" s="6" t="s">
        <v>914</v>
      </c>
      <c r="D342" s="7" t="s">
        <v>7</v>
      </c>
    </row>
    <row r="343" spans="1:12" x14ac:dyDescent="0.25">
      <c r="A343" s="2" t="s">
        <v>915</v>
      </c>
      <c r="B343" s="3" t="s">
        <v>916</v>
      </c>
      <c r="C343" s="3" t="s">
        <v>917</v>
      </c>
      <c r="D343" s="4" t="s">
        <v>918</v>
      </c>
    </row>
    <row r="344" spans="1:12" x14ac:dyDescent="0.25">
      <c r="A344" s="5" t="s">
        <v>919</v>
      </c>
      <c r="B344" s="6" t="s">
        <v>916</v>
      </c>
      <c r="C344" s="6" t="s">
        <v>920</v>
      </c>
      <c r="D344" s="7" t="s">
        <v>918</v>
      </c>
    </row>
    <row r="345" spans="1:12" x14ac:dyDescent="0.25">
      <c r="A345" s="2" t="s">
        <v>921</v>
      </c>
      <c r="B345" s="3" t="s">
        <v>916</v>
      </c>
      <c r="C345" s="3" t="s">
        <v>922</v>
      </c>
      <c r="D345" s="4" t="s">
        <v>918</v>
      </c>
    </row>
    <row r="346" spans="1:12" x14ac:dyDescent="0.25">
      <c r="A346" s="5" t="s">
        <v>923</v>
      </c>
      <c r="B346" s="6" t="s">
        <v>916</v>
      </c>
      <c r="C346" s="6" t="s">
        <v>924</v>
      </c>
      <c r="D346" s="7" t="s">
        <v>918</v>
      </c>
    </row>
    <row r="347" spans="1:12" x14ac:dyDescent="0.25">
      <c r="A347" s="2" t="s">
        <v>925</v>
      </c>
      <c r="B347" s="3" t="s">
        <v>916</v>
      </c>
      <c r="C347" s="3" t="s">
        <v>926</v>
      </c>
      <c r="D347" s="4" t="s">
        <v>918</v>
      </c>
    </row>
    <row r="348" spans="1:12" x14ac:dyDescent="0.25">
      <c r="A348" s="5" t="s">
        <v>927</v>
      </c>
      <c r="B348" s="6" t="s">
        <v>916</v>
      </c>
      <c r="C348" s="6" t="s">
        <v>928</v>
      </c>
      <c r="D348" s="7" t="s">
        <v>918</v>
      </c>
    </row>
    <row r="349" spans="1:12" x14ac:dyDescent="0.25">
      <c r="A349" s="2" t="s">
        <v>929</v>
      </c>
      <c r="B349" s="3" t="s">
        <v>916</v>
      </c>
      <c r="C349" s="3" t="s">
        <v>930</v>
      </c>
      <c r="D349" s="4" t="s">
        <v>918</v>
      </c>
    </row>
    <row r="350" spans="1:12" x14ac:dyDescent="0.25">
      <c r="A350" s="5" t="s">
        <v>931</v>
      </c>
      <c r="B350" s="6" t="s">
        <v>916</v>
      </c>
      <c r="C350" s="6" t="s">
        <v>932</v>
      </c>
      <c r="D350" s="7" t="s">
        <v>918</v>
      </c>
    </row>
    <row r="351" spans="1:12" x14ac:dyDescent="0.25">
      <c r="A351" s="2" t="s">
        <v>933</v>
      </c>
      <c r="B351" s="3" t="s">
        <v>916</v>
      </c>
      <c r="C351" s="3" t="s">
        <v>934</v>
      </c>
      <c r="D351" s="4" t="s">
        <v>918</v>
      </c>
    </row>
    <row r="352" spans="1:12" x14ac:dyDescent="0.25">
      <c r="A352" s="5" t="s">
        <v>935</v>
      </c>
      <c r="B352" s="6" t="s">
        <v>916</v>
      </c>
      <c r="C352" s="6" t="s">
        <v>936</v>
      </c>
      <c r="D352" s="7" t="s">
        <v>918</v>
      </c>
    </row>
    <row r="353" spans="1:4" x14ac:dyDescent="0.25">
      <c r="A353" s="2" t="s">
        <v>937</v>
      </c>
      <c r="B353" s="3" t="s">
        <v>916</v>
      </c>
      <c r="C353" s="3" t="s">
        <v>938</v>
      </c>
      <c r="D353" s="4" t="s">
        <v>918</v>
      </c>
    </row>
    <row r="354" spans="1:4" x14ac:dyDescent="0.25">
      <c r="A354" s="5" t="s">
        <v>939</v>
      </c>
      <c r="B354" s="6" t="s">
        <v>916</v>
      </c>
      <c r="C354" s="6" t="s">
        <v>940</v>
      </c>
      <c r="D354" s="7" t="s">
        <v>918</v>
      </c>
    </row>
    <row r="355" spans="1:4" x14ac:dyDescent="0.25">
      <c r="A355" s="2" t="s">
        <v>941</v>
      </c>
      <c r="B355" s="3" t="s">
        <v>916</v>
      </c>
      <c r="C355" s="3" t="s">
        <v>942</v>
      </c>
      <c r="D355" s="4" t="s">
        <v>918</v>
      </c>
    </row>
    <row r="356" spans="1:4" x14ac:dyDescent="0.25">
      <c r="A356" s="5" t="s">
        <v>943</v>
      </c>
      <c r="B356" s="6" t="s">
        <v>916</v>
      </c>
      <c r="C356" s="6" t="s">
        <v>944</v>
      </c>
      <c r="D356" s="7" t="s">
        <v>918</v>
      </c>
    </row>
    <row r="357" spans="1:4" x14ac:dyDescent="0.25">
      <c r="A357" s="2" t="s">
        <v>945</v>
      </c>
      <c r="B357" s="3" t="s">
        <v>916</v>
      </c>
      <c r="C357" s="3" t="s">
        <v>944</v>
      </c>
      <c r="D357" s="4" t="s">
        <v>918</v>
      </c>
    </row>
    <row r="358" spans="1:4" x14ac:dyDescent="0.25">
      <c r="A358" s="5" t="s">
        <v>946</v>
      </c>
      <c r="B358" s="6" t="s">
        <v>916</v>
      </c>
      <c r="C358" s="6" t="s">
        <v>944</v>
      </c>
      <c r="D358" s="7" t="s">
        <v>918</v>
      </c>
    </row>
    <row r="359" spans="1:4" x14ac:dyDescent="0.25">
      <c r="A359" s="2" t="s">
        <v>947</v>
      </c>
      <c r="B359" s="3" t="s">
        <v>916</v>
      </c>
      <c r="C359" s="3" t="s">
        <v>944</v>
      </c>
      <c r="D359" s="4" t="s">
        <v>918</v>
      </c>
    </row>
    <row r="360" spans="1:4" x14ac:dyDescent="0.25">
      <c r="A360" s="5" t="s">
        <v>948</v>
      </c>
      <c r="B360" s="6" t="s">
        <v>916</v>
      </c>
      <c r="C360" s="6" t="s">
        <v>949</v>
      </c>
      <c r="D360" s="7" t="s">
        <v>918</v>
      </c>
    </row>
    <row r="361" spans="1:4" x14ac:dyDescent="0.25">
      <c r="A361" s="2" t="s">
        <v>950</v>
      </c>
      <c r="B361" s="3" t="s">
        <v>916</v>
      </c>
      <c r="C361" s="3" t="s">
        <v>949</v>
      </c>
      <c r="D361" s="4" t="s">
        <v>918</v>
      </c>
    </row>
    <row r="362" spans="1:4" x14ac:dyDescent="0.25">
      <c r="A362" s="5" t="s">
        <v>951</v>
      </c>
      <c r="B362" s="6" t="s">
        <v>916</v>
      </c>
      <c r="C362" s="6" t="s">
        <v>949</v>
      </c>
      <c r="D362" s="7" t="s">
        <v>918</v>
      </c>
    </row>
    <row r="363" spans="1:4" x14ac:dyDescent="0.25">
      <c r="A363" s="2" t="s">
        <v>952</v>
      </c>
      <c r="B363" s="3" t="s">
        <v>916</v>
      </c>
      <c r="C363" s="3" t="s">
        <v>949</v>
      </c>
      <c r="D363" s="4" t="s">
        <v>918</v>
      </c>
    </row>
    <row r="364" spans="1:4" x14ac:dyDescent="0.25">
      <c r="A364" s="5" t="s">
        <v>953</v>
      </c>
      <c r="B364" s="6" t="s">
        <v>916</v>
      </c>
      <c r="C364" s="6" t="s">
        <v>949</v>
      </c>
      <c r="D364" s="7" t="s">
        <v>918</v>
      </c>
    </row>
    <row r="365" spans="1:4" x14ac:dyDescent="0.25">
      <c r="A365" s="2" t="s">
        <v>954</v>
      </c>
      <c r="B365" s="3" t="s">
        <v>916</v>
      </c>
      <c r="C365" s="3" t="s">
        <v>949</v>
      </c>
      <c r="D365" s="4" t="s">
        <v>918</v>
      </c>
    </row>
    <row r="366" spans="1:4" x14ac:dyDescent="0.25">
      <c r="A366" s="5" t="s">
        <v>955</v>
      </c>
      <c r="B366" s="6" t="s">
        <v>916</v>
      </c>
      <c r="C366" s="6" t="s">
        <v>949</v>
      </c>
      <c r="D366" s="7" t="s">
        <v>918</v>
      </c>
    </row>
    <row r="367" spans="1:4" x14ac:dyDescent="0.25">
      <c r="A367" s="2" t="s">
        <v>956</v>
      </c>
      <c r="B367" s="3" t="s">
        <v>916</v>
      </c>
      <c r="C367" s="3" t="s">
        <v>957</v>
      </c>
      <c r="D367" s="4" t="s">
        <v>918</v>
      </c>
    </row>
    <row r="368" spans="1:4" x14ac:dyDescent="0.25">
      <c r="A368" s="5" t="s">
        <v>958</v>
      </c>
      <c r="B368" s="6" t="s">
        <v>916</v>
      </c>
      <c r="C368" s="6" t="s">
        <v>959</v>
      </c>
      <c r="D368" s="7" t="s">
        <v>918</v>
      </c>
    </row>
    <row r="369" spans="1:4" x14ac:dyDescent="0.25">
      <c r="A369" s="2" t="s">
        <v>960</v>
      </c>
      <c r="B369" s="3" t="s">
        <v>961</v>
      </c>
      <c r="C369" s="3" t="s">
        <v>962</v>
      </c>
      <c r="D369" s="4" t="s">
        <v>7</v>
      </c>
    </row>
    <row r="370" spans="1:4" x14ac:dyDescent="0.25">
      <c r="A370" s="5" t="s">
        <v>963</v>
      </c>
      <c r="B370" s="6" t="s">
        <v>964</v>
      </c>
      <c r="C370" s="6" t="s">
        <v>965</v>
      </c>
      <c r="D370" s="7" t="s">
        <v>7</v>
      </c>
    </row>
    <row r="371" spans="1:4" x14ac:dyDescent="0.25">
      <c r="A371" s="2" t="s">
        <v>966</v>
      </c>
      <c r="B371" s="3" t="s">
        <v>967</v>
      </c>
      <c r="C371" s="3" t="s">
        <v>968</v>
      </c>
      <c r="D371" s="4" t="s">
        <v>7</v>
      </c>
    </row>
    <row r="372" spans="1:4" x14ac:dyDescent="0.25">
      <c r="A372" s="5" t="s">
        <v>969</v>
      </c>
      <c r="B372" s="6" t="s">
        <v>970</v>
      </c>
      <c r="C372" s="6" t="s">
        <v>971</v>
      </c>
      <c r="D372" s="7" t="s">
        <v>7</v>
      </c>
    </row>
    <row r="373" spans="1:4" x14ac:dyDescent="0.25">
      <c r="A373" s="2" t="s">
        <v>972</v>
      </c>
      <c r="B373" s="3" t="s">
        <v>973</v>
      </c>
      <c r="C373" s="3" t="s">
        <v>974</v>
      </c>
      <c r="D373" s="4" t="s">
        <v>7</v>
      </c>
    </row>
    <row r="374" spans="1:4" x14ac:dyDescent="0.25">
      <c r="A374" s="5" t="s">
        <v>975</v>
      </c>
      <c r="B374" s="6" t="s">
        <v>976</v>
      </c>
      <c r="C374" s="6" t="s">
        <v>977</v>
      </c>
      <c r="D374" s="7" t="s">
        <v>7</v>
      </c>
    </row>
    <row r="375" spans="1:4" x14ac:dyDescent="0.25">
      <c r="A375" s="2" t="s">
        <v>978</v>
      </c>
      <c r="B375" s="3" t="s">
        <v>979</v>
      </c>
      <c r="C375" s="3" t="s">
        <v>980</v>
      </c>
      <c r="D375" s="4" t="s">
        <v>7</v>
      </c>
    </row>
    <row r="376" spans="1:4" x14ac:dyDescent="0.25">
      <c r="A376" s="5" t="s">
        <v>981</v>
      </c>
      <c r="B376" s="6" t="s">
        <v>982</v>
      </c>
      <c r="C376" s="6" t="s">
        <v>982</v>
      </c>
      <c r="D376" s="7" t="s">
        <v>22</v>
      </c>
    </row>
    <row r="377" spans="1:4" x14ac:dyDescent="0.25">
      <c r="A377" s="2" t="s">
        <v>983</v>
      </c>
      <c r="B377" s="3" t="s">
        <v>984</v>
      </c>
      <c r="C377" s="3" t="s">
        <v>982</v>
      </c>
      <c r="D377" s="4" t="s">
        <v>7</v>
      </c>
    </row>
    <row r="378" spans="1:4" x14ac:dyDescent="0.25">
      <c r="A378" s="5" t="s">
        <v>985</v>
      </c>
      <c r="B378" s="6" t="s">
        <v>986</v>
      </c>
      <c r="C378" s="6" t="s">
        <v>987</v>
      </c>
      <c r="D378" s="7" t="s">
        <v>7</v>
      </c>
    </row>
    <row r="379" spans="1:4" x14ac:dyDescent="0.25">
      <c r="A379" s="2" t="s">
        <v>988</v>
      </c>
      <c r="B379" s="3" t="s">
        <v>989</v>
      </c>
      <c r="C379" s="3" t="s">
        <v>990</v>
      </c>
      <c r="D379" s="4" t="s">
        <v>7</v>
      </c>
    </row>
    <row r="380" spans="1:4" x14ac:dyDescent="0.25">
      <c r="A380" s="5" t="s">
        <v>991</v>
      </c>
      <c r="B380" s="6" t="s">
        <v>992</v>
      </c>
      <c r="C380" s="6" t="s">
        <v>993</v>
      </c>
      <c r="D380" s="7" t="s">
        <v>7</v>
      </c>
    </row>
    <row r="381" spans="1:4" x14ac:dyDescent="0.25">
      <c r="A381" s="2" t="s">
        <v>994</v>
      </c>
      <c r="B381" s="3" t="s">
        <v>995</v>
      </c>
      <c r="C381" s="3" t="s">
        <v>996</v>
      </c>
      <c r="D381" s="4" t="s">
        <v>7</v>
      </c>
    </row>
    <row r="382" spans="1:4" x14ac:dyDescent="0.25">
      <c r="A382" s="5" t="s">
        <v>997</v>
      </c>
      <c r="B382" s="6" t="s">
        <v>998</v>
      </c>
      <c r="C382" s="6" t="s">
        <v>999</v>
      </c>
      <c r="D382" s="7" t="s">
        <v>7</v>
      </c>
    </row>
    <row r="383" spans="1:4" x14ac:dyDescent="0.25">
      <c r="A383" s="2" t="s">
        <v>1000</v>
      </c>
      <c r="B383" s="3" t="s">
        <v>1001</v>
      </c>
      <c r="C383" s="3" t="s">
        <v>1002</v>
      </c>
      <c r="D383" s="4" t="s">
        <v>7</v>
      </c>
    </row>
    <row r="384" spans="1:4" x14ac:dyDescent="0.25">
      <c r="A384" s="5" t="s">
        <v>1003</v>
      </c>
      <c r="B384" s="6" t="s">
        <v>1004</v>
      </c>
      <c r="C384" s="6" t="s">
        <v>1004</v>
      </c>
      <c r="D384" s="7" t="s">
        <v>22</v>
      </c>
    </row>
    <row r="385" spans="1:4" x14ac:dyDescent="0.25">
      <c r="A385" s="2" t="s">
        <v>1005</v>
      </c>
      <c r="B385" s="3" t="s">
        <v>1006</v>
      </c>
      <c r="C385" s="3" t="s">
        <v>1004</v>
      </c>
      <c r="D385" s="4" t="s">
        <v>7</v>
      </c>
    </row>
    <row r="386" spans="1:4" x14ac:dyDescent="0.25">
      <c r="A386" s="5" t="s">
        <v>1007</v>
      </c>
      <c r="B386" s="6" t="s">
        <v>1008</v>
      </c>
      <c r="C386" s="6" t="s">
        <v>1009</v>
      </c>
      <c r="D386" s="7" t="s">
        <v>7</v>
      </c>
    </row>
    <row r="387" spans="1:4" x14ac:dyDescent="0.25">
      <c r="A387" s="2" t="s">
        <v>1010</v>
      </c>
      <c r="B387" s="3" t="s">
        <v>1011</v>
      </c>
      <c r="C387" s="3" t="s">
        <v>1012</v>
      </c>
      <c r="D387" s="4" t="s">
        <v>7</v>
      </c>
    </row>
    <row r="388" spans="1:4" x14ac:dyDescent="0.25">
      <c r="A388" s="5" t="s">
        <v>1013</v>
      </c>
      <c r="B388" s="6" t="s">
        <v>1014</v>
      </c>
      <c r="C388" s="6" t="s">
        <v>1015</v>
      </c>
      <c r="D388" s="7" t="s">
        <v>7</v>
      </c>
    </row>
    <row r="389" spans="1:4" x14ac:dyDescent="0.25">
      <c r="A389" s="2" t="s">
        <v>1016</v>
      </c>
      <c r="B389" s="3" t="s">
        <v>1017</v>
      </c>
      <c r="C389" s="3" t="s">
        <v>1018</v>
      </c>
      <c r="D389" s="4" t="s">
        <v>7</v>
      </c>
    </row>
    <row r="390" spans="1:4" x14ac:dyDescent="0.25">
      <c r="A390" s="5" t="s">
        <v>1019</v>
      </c>
      <c r="B390" s="6" t="s">
        <v>1020</v>
      </c>
      <c r="C390" s="6" t="s">
        <v>1021</v>
      </c>
      <c r="D390" s="7" t="s">
        <v>7</v>
      </c>
    </row>
    <row r="391" spans="1:4" x14ac:dyDescent="0.25">
      <c r="A391" s="2" t="s">
        <v>1022</v>
      </c>
      <c r="B391" s="3" t="s">
        <v>1023</v>
      </c>
      <c r="C391" s="3" t="s">
        <v>1023</v>
      </c>
      <c r="D391" s="4" t="s">
        <v>22</v>
      </c>
    </row>
    <row r="392" spans="1:4" x14ac:dyDescent="0.25">
      <c r="A392" s="5" t="s">
        <v>1024</v>
      </c>
      <c r="B392" s="6" t="s">
        <v>1025</v>
      </c>
      <c r="C392" s="6" t="s">
        <v>1026</v>
      </c>
      <c r="D392" s="7" t="s">
        <v>7</v>
      </c>
    </row>
    <row r="393" spans="1:4" x14ac:dyDescent="0.25">
      <c r="A393" s="2" t="s">
        <v>1027</v>
      </c>
      <c r="B393" s="3" t="s">
        <v>1028</v>
      </c>
      <c r="C393" s="3" t="s">
        <v>1029</v>
      </c>
      <c r="D393" s="4" t="s">
        <v>7</v>
      </c>
    </row>
    <row r="394" spans="1:4" x14ac:dyDescent="0.25">
      <c r="A394" s="5" t="s">
        <v>1030</v>
      </c>
      <c r="B394" s="6" t="s">
        <v>1031</v>
      </c>
      <c r="C394" s="6" t="s">
        <v>1032</v>
      </c>
      <c r="D394" s="7" t="s">
        <v>7</v>
      </c>
    </row>
    <row r="395" spans="1:4" x14ac:dyDescent="0.25">
      <c r="A395" s="2" t="s">
        <v>1033</v>
      </c>
      <c r="B395" s="3" t="s">
        <v>1032</v>
      </c>
      <c r="C395" s="3" t="s">
        <v>1032</v>
      </c>
      <c r="D395" s="4" t="s">
        <v>22</v>
      </c>
    </row>
    <row r="396" spans="1:4" x14ac:dyDescent="0.25">
      <c r="A396" s="5" t="s">
        <v>1034</v>
      </c>
      <c r="B396" s="6" t="s">
        <v>1035</v>
      </c>
      <c r="C396" s="6" t="s">
        <v>1036</v>
      </c>
      <c r="D396" s="7" t="s">
        <v>7</v>
      </c>
    </row>
    <row r="397" spans="1:4" x14ac:dyDescent="0.25">
      <c r="A397" s="2" t="s">
        <v>1037</v>
      </c>
      <c r="B397" s="3" t="s">
        <v>1038</v>
      </c>
      <c r="C397" s="3" t="s">
        <v>1039</v>
      </c>
      <c r="D397" s="4" t="s">
        <v>7</v>
      </c>
    </row>
    <row r="398" spans="1:4" x14ac:dyDescent="0.25">
      <c r="A398" s="5" t="s">
        <v>1040</v>
      </c>
      <c r="B398" s="6" t="s">
        <v>1041</v>
      </c>
      <c r="C398" s="6" t="s">
        <v>1042</v>
      </c>
      <c r="D398" s="7" t="s">
        <v>7</v>
      </c>
    </row>
    <row r="399" spans="1:4" x14ac:dyDescent="0.25">
      <c r="A399" s="2" t="s">
        <v>1043</v>
      </c>
      <c r="B399" s="3" t="s">
        <v>1044</v>
      </c>
      <c r="C399" s="3" t="s">
        <v>1045</v>
      </c>
      <c r="D399" s="4" t="s">
        <v>7</v>
      </c>
    </row>
    <row r="400" spans="1:4" x14ac:dyDescent="0.25">
      <c r="A400" s="5" t="s">
        <v>1046</v>
      </c>
      <c r="B400" s="6" t="s">
        <v>1047</v>
      </c>
      <c r="C400" s="6" t="s">
        <v>1048</v>
      </c>
      <c r="D400" s="7" t="s">
        <v>7</v>
      </c>
    </row>
    <row r="401" spans="1:4" x14ac:dyDescent="0.25">
      <c r="A401" s="2" t="s">
        <v>1049</v>
      </c>
      <c r="B401" s="3" t="s">
        <v>1050</v>
      </c>
      <c r="C401" s="3" t="s">
        <v>1050</v>
      </c>
      <c r="D401" s="4" t="s">
        <v>22</v>
      </c>
    </row>
    <row r="402" spans="1:4" x14ac:dyDescent="0.25">
      <c r="A402" s="5" t="s">
        <v>1051</v>
      </c>
      <c r="B402" s="6" t="s">
        <v>1052</v>
      </c>
      <c r="C402" s="6" t="s">
        <v>1050</v>
      </c>
      <c r="D402" s="7" t="s">
        <v>7</v>
      </c>
    </row>
    <row r="403" spans="1:4" x14ac:dyDescent="0.25">
      <c r="A403" s="2" t="s">
        <v>1053</v>
      </c>
      <c r="B403" s="3" t="s">
        <v>1054</v>
      </c>
      <c r="C403" s="3" t="s">
        <v>1055</v>
      </c>
      <c r="D403" s="4" t="s">
        <v>7</v>
      </c>
    </row>
    <row r="404" spans="1:4" x14ac:dyDescent="0.25">
      <c r="A404" s="5" t="s">
        <v>1056</v>
      </c>
      <c r="B404" s="6" t="s">
        <v>1057</v>
      </c>
      <c r="C404" s="6" t="s">
        <v>1058</v>
      </c>
      <c r="D404" s="7" t="s">
        <v>7</v>
      </c>
    </row>
    <row r="405" spans="1:4" x14ac:dyDescent="0.25">
      <c r="A405" s="2" t="s">
        <v>1059</v>
      </c>
      <c r="B405" s="3" t="s">
        <v>1060</v>
      </c>
      <c r="C405" s="3" t="s">
        <v>1061</v>
      </c>
      <c r="D405" s="4" t="s">
        <v>7</v>
      </c>
    </row>
    <row r="406" spans="1:4" x14ac:dyDescent="0.25">
      <c r="A406" s="5" t="s">
        <v>1062</v>
      </c>
      <c r="B406" s="6" t="s">
        <v>1063</v>
      </c>
      <c r="C406" s="6" t="s">
        <v>1063</v>
      </c>
      <c r="D406" s="7" t="s">
        <v>22</v>
      </c>
    </row>
    <row r="407" spans="1:4" x14ac:dyDescent="0.25">
      <c r="A407" s="2" t="s">
        <v>1064</v>
      </c>
      <c r="B407" s="3" t="s">
        <v>1065</v>
      </c>
      <c r="C407" s="3" t="s">
        <v>1066</v>
      </c>
      <c r="D407" s="4" t="s">
        <v>7</v>
      </c>
    </row>
    <row r="408" spans="1:4" x14ac:dyDescent="0.25">
      <c r="A408" s="5" t="s">
        <v>1067</v>
      </c>
      <c r="B408" s="6" t="s">
        <v>1068</v>
      </c>
      <c r="C408" s="6" t="s">
        <v>1069</v>
      </c>
      <c r="D408" s="7" t="s">
        <v>7</v>
      </c>
    </row>
    <row r="409" spans="1:4" x14ac:dyDescent="0.25">
      <c r="A409" s="2" t="s">
        <v>1070</v>
      </c>
      <c r="B409" s="3" t="s">
        <v>1071</v>
      </c>
      <c r="C409" s="3" t="s">
        <v>1072</v>
      </c>
      <c r="D409" s="4" t="s">
        <v>7</v>
      </c>
    </row>
    <row r="410" spans="1:4" x14ac:dyDescent="0.25">
      <c r="A410" s="5" t="s">
        <v>1073</v>
      </c>
      <c r="B410" s="6" t="s">
        <v>1074</v>
      </c>
      <c r="C410" s="6" t="s">
        <v>1075</v>
      </c>
      <c r="D410" s="7" t="s">
        <v>7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0"/>
  <sheetViews>
    <sheetView workbookViewId="0">
      <selection activeCell="N3" sqref="N3"/>
    </sheetView>
  </sheetViews>
  <sheetFormatPr defaultRowHeight="15" x14ac:dyDescent="0.25"/>
  <cols>
    <col min="1" max="1" width="8.28515625" bestFit="1" customWidth="1"/>
    <col min="2" max="3" width="22.85546875" bestFit="1" customWidth="1"/>
    <col min="4" max="4" width="6.42578125" bestFit="1" customWidth="1"/>
    <col min="6" max="6" width="11" bestFit="1" customWidth="1"/>
    <col min="7" max="7" width="6.42578125" bestFit="1" customWidth="1"/>
    <col min="8" max="8" width="7.5703125" bestFit="1" customWidth="1"/>
    <col min="9" max="9" width="15" bestFit="1" customWidth="1"/>
    <col min="10" max="10" width="6.7109375" bestFit="1" customWidth="1"/>
    <col min="12" max="12" width="11" bestFit="1" customWidth="1"/>
    <col min="13" max="13" width="21.425781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4" t="s">
        <v>3</v>
      </c>
      <c r="F1" t="s">
        <v>1076</v>
      </c>
      <c r="G1" t="s">
        <v>0</v>
      </c>
      <c r="H1" t="s">
        <v>1077</v>
      </c>
      <c r="I1" t="s">
        <v>1078</v>
      </c>
      <c r="J1" t="s">
        <v>1079</v>
      </c>
      <c r="L1" t="s">
        <v>1076</v>
      </c>
      <c r="M1" t="s">
        <v>1419</v>
      </c>
    </row>
    <row r="2" spans="1:13" x14ac:dyDescent="0.25">
      <c r="A2" s="5" t="s">
        <v>4</v>
      </c>
      <c r="B2" s="6" t="s">
        <v>5</v>
      </c>
      <c r="C2" s="6" t="s">
        <v>6</v>
      </c>
      <c r="D2" s="7" t="s">
        <v>7</v>
      </c>
      <c r="F2">
        <v>6727559092</v>
      </c>
      <c r="G2" s="1" t="s">
        <v>869</v>
      </c>
      <c r="H2" s="1" t="s">
        <v>1080</v>
      </c>
      <c r="I2" s="1" t="s">
        <v>1081</v>
      </c>
      <c r="J2">
        <v>1240</v>
      </c>
      <c r="L2">
        <v>2394072755</v>
      </c>
      <c r="M2" s="1" t="s">
        <v>1420</v>
      </c>
    </row>
    <row r="3" spans="1:13" x14ac:dyDescent="0.25">
      <c r="A3" s="2" t="s">
        <v>8</v>
      </c>
      <c r="B3" s="3" t="s">
        <v>9</v>
      </c>
      <c r="C3" s="3" t="s">
        <v>10</v>
      </c>
      <c r="D3" s="4" t="s">
        <v>7</v>
      </c>
      <c r="F3">
        <v>3866883575</v>
      </c>
      <c r="G3" s="1" t="s">
        <v>434</v>
      </c>
      <c r="H3" s="1" t="s">
        <v>1082</v>
      </c>
      <c r="I3" s="1" t="s">
        <v>1081</v>
      </c>
      <c r="J3">
        <v>3022</v>
      </c>
      <c r="L3">
        <v>1599095267</v>
      </c>
      <c r="M3" s="1" t="s">
        <v>1421</v>
      </c>
    </row>
    <row r="4" spans="1:13" x14ac:dyDescent="0.25">
      <c r="A4" s="5" t="s">
        <v>11</v>
      </c>
      <c r="B4" s="6" t="s">
        <v>12</v>
      </c>
      <c r="C4" s="6" t="s">
        <v>13</v>
      </c>
      <c r="D4" s="7" t="s">
        <v>7</v>
      </c>
      <c r="F4">
        <v>1165493421</v>
      </c>
      <c r="G4" s="1" t="s">
        <v>14</v>
      </c>
      <c r="H4" s="1" t="s">
        <v>1083</v>
      </c>
      <c r="I4" s="1" t="s">
        <v>1081</v>
      </c>
      <c r="J4">
        <v>1770</v>
      </c>
      <c r="L4">
        <v>5341884086</v>
      </c>
      <c r="M4" s="1" t="s">
        <v>1422</v>
      </c>
    </row>
    <row r="5" spans="1:13" x14ac:dyDescent="0.25">
      <c r="A5" s="2" t="s">
        <v>14</v>
      </c>
      <c r="B5" s="3" t="s">
        <v>15</v>
      </c>
      <c r="C5" s="3" t="s">
        <v>16</v>
      </c>
      <c r="D5" s="4" t="s">
        <v>7</v>
      </c>
      <c r="F5">
        <v>2138598159</v>
      </c>
      <c r="G5" s="1" t="s">
        <v>143</v>
      </c>
      <c r="H5" s="1" t="s">
        <v>1084</v>
      </c>
      <c r="I5" s="1" t="s">
        <v>1081</v>
      </c>
      <c r="J5">
        <v>2272</v>
      </c>
      <c r="L5">
        <v>1818291355</v>
      </c>
      <c r="M5" s="1" t="s">
        <v>1423</v>
      </c>
    </row>
    <row r="6" spans="1:13" x14ac:dyDescent="0.25">
      <c r="A6" s="5" t="s">
        <v>17</v>
      </c>
      <c r="B6" s="6" t="s">
        <v>18</v>
      </c>
      <c r="C6" s="6" t="s">
        <v>19</v>
      </c>
      <c r="D6" s="7" t="s">
        <v>7</v>
      </c>
      <c r="F6">
        <v>1617995032</v>
      </c>
      <c r="G6" s="1" t="s">
        <v>892</v>
      </c>
      <c r="H6" s="1" t="s">
        <v>1085</v>
      </c>
      <c r="I6" s="1" t="s">
        <v>1081</v>
      </c>
      <c r="J6">
        <v>2253</v>
      </c>
      <c r="L6">
        <v>1361555378</v>
      </c>
      <c r="M6" s="1" t="s">
        <v>1424</v>
      </c>
    </row>
    <row r="7" spans="1:13" x14ac:dyDescent="0.25">
      <c r="A7" s="2" t="s">
        <v>20</v>
      </c>
      <c r="B7" s="3" t="s">
        <v>21</v>
      </c>
      <c r="C7" s="3" t="s">
        <v>21</v>
      </c>
      <c r="D7" s="4" t="s">
        <v>22</v>
      </c>
      <c r="F7">
        <v>2625657803</v>
      </c>
      <c r="G7" s="1" t="s">
        <v>14</v>
      </c>
      <c r="H7" s="1" t="s">
        <v>1086</v>
      </c>
      <c r="I7" s="1" t="s">
        <v>1087</v>
      </c>
      <c r="J7">
        <v>2349</v>
      </c>
      <c r="L7">
        <v>2869229213</v>
      </c>
      <c r="M7" s="1" t="s">
        <v>1425</v>
      </c>
    </row>
    <row r="8" spans="1:13" x14ac:dyDescent="0.25">
      <c r="A8" s="5" t="s">
        <v>23</v>
      </c>
      <c r="B8" s="6" t="s">
        <v>24</v>
      </c>
      <c r="C8" s="6" t="s">
        <v>25</v>
      </c>
      <c r="D8" s="7" t="s">
        <v>7</v>
      </c>
      <c r="F8">
        <v>6758177505</v>
      </c>
      <c r="G8" s="1" t="s">
        <v>869</v>
      </c>
      <c r="H8" s="1" t="s">
        <v>1088</v>
      </c>
      <c r="I8" s="1" t="s">
        <v>1087</v>
      </c>
      <c r="J8">
        <v>2154</v>
      </c>
      <c r="L8">
        <v>5528435390</v>
      </c>
      <c r="M8" s="1" t="s">
        <v>1426</v>
      </c>
    </row>
    <row r="9" spans="1:13" x14ac:dyDescent="0.25">
      <c r="A9" s="2" t="s">
        <v>26</v>
      </c>
      <c r="B9" s="3" t="s">
        <v>27</v>
      </c>
      <c r="C9" s="3" t="s">
        <v>28</v>
      </c>
      <c r="D9" s="4" t="s">
        <v>7</v>
      </c>
      <c r="F9">
        <v>4531538788</v>
      </c>
      <c r="G9" s="1" t="s">
        <v>14</v>
      </c>
      <c r="H9" s="1" t="s">
        <v>1089</v>
      </c>
      <c r="I9" s="1" t="s">
        <v>1081</v>
      </c>
      <c r="J9">
        <v>2385</v>
      </c>
      <c r="L9">
        <v>2625657803</v>
      </c>
      <c r="M9" s="1" t="s">
        <v>1427</v>
      </c>
    </row>
    <row r="10" spans="1:13" x14ac:dyDescent="0.25">
      <c r="A10" s="5" t="s">
        <v>29</v>
      </c>
      <c r="B10" s="6" t="s">
        <v>30</v>
      </c>
      <c r="C10" s="6" t="s">
        <v>31</v>
      </c>
      <c r="D10" s="7" t="s">
        <v>7</v>
      </c>
      <c r="F10">
        <v>2138598159</v>
      </c>
      <c r="G10" s="1" t="s">
        <v>143</v>
      </c>
      <c r="H10" s="1" t="s">
        <v>1090</v>
      </c>
      <c r="I10" s="1" t="s">
        <v>1087</v>
      </c>
      <c r="J10">
        <v>2370</v>
      </c>
      <c r="L10">
        <v>1871447797</v>
      </c>
      <c r="M10" s="1" t="s">
        <v>1428</v>
      </c>
    </row>
    <row r="11" spans="1:13" x14ac:dyDescent="0.25">
      <c r="A11" s="2" t="s">
        <v>32</v>
      </c>
      <c r="B11" s="3" t="s">
        <v>33</v>
      </c>
      <c r="C11" s="3" t="s">
        <v>21</v>
      </c>
      <c r="D11" s="4" t="s">
        <v>7</v>
      </c>
      <c r="F11">
        <v>1818291355</v>
      </c>
      <c r="G11" s="1" t="s">
        <v>14</v>
      </c>
      <c r="H11" s="1" t="s">
        <v>1091</v>
      </c>
      <c r="I11" s="1" t="s">
        <v>1081</v>
      </c>
      <c r="J11">
        <v>1862</v>
      </c>
      <c r="L11">
        <v>4241680809</v>
      </c>
      <c r="M11" s="1" t="s">
        <v>1429</v>
      </c>
    </row>
    <row r="12" spans="1:13" x14ac:dyDescent="0.25">
      <c r="A12" s="5" t="s">
        <v>34</v>
      </c>
      <c r="B12" s="6" t="s">
        <v>31</v>
      </c>
      <c r="C12" s="6" t="s">
        <v>31</v>
      </c>
      <c r="D12" s="7" t="s">
        <v>22</v>
      </c>
      <c r="F12">
        <v>2599394621</v>
      </c>
      <c r="G12" s="1" t="s">
        <v>14</v>
      </c>
      <c r="H12" s="1" t="s">
        <v>1092</v>
      </c>
      <c r="I12" s="1" t="s">
        <v>1087</v>
      </c>
      <c r="J12">
        <v>2508</v>
      </c>
      <c r="L12">
        <v>3318203338</v>
      </c>
      <c r="M12" s="1" t="s">
        <v>1430</v>
      </c>
    </row>
    <row r="13" spans="1:13" x14ac:dyDescent="0.25">
      <c r="A13" s="2" t="s">
        <v>35</v>
      </c>
      <c r="B13" s="3" t="s">
        <v>36</v>
      </c>
      <c r="C13" s="3" t="s">
        <v>37</v>
      </c>
      <c r="D13" s="4" t="s">
        <v>7</v>
      </c>
      <c r="F13">
        <v>4653095092</v>
      </c>
      <c r="G13" s="1" t="s">
        <v>527</v>
      </c>
      <c r="H13" s="1" t="s">
        <v>1093</v>
      </c>
      <c r="I13" s="1" t="s">
        <v>1081</v>
      </c>
      <c r="J13">
        <v>2502</v>
      </c>
      <c r="L13">
        <v>1524870307</v>
      </c>
      <c r="M13" s="1" t="s">
        <v>1431</v>
      </c>
    </row>
    <row r="14" spans="1:13" x14ac:dyDescent="0.25">
      <c r="A14" s="5" t="s">
        <v>38</v>
      </c>
      <c r="B14" s="6" t="s">
        <v>36</v>
      </c>
      <c r="C14" s="6" t="s">
        <v>39</v>
      </c>
      <c r="D14" s="7" t="s">
        <v>7</v>
      </c>
      <c r="F14">
        <v>5229945534</v>
      </c>
      <c r="G14" s="1" t="s">
        <v>14</v>
      </c>
      <c r="H14" s="1" t="s">
        <v>1094</v>
      </c>
      <c r="I14" s="1" t="s">
        <v>1087</v>
      </c>
      <c r="J14">
        <v>2674</v>
      </c>
      <c r="L14">
        <v>1581329071</v>
      </c>
      <c r="M14" s="1" t="s">
        <v>1432</v>
      </c>
    </row>
    <row r="15" spans="1:13" x14ac:dyDescent="0.25">
      <c r="A15" s="2" t="s">
        <v>40</v>
      </c>
      <c r="B15" s="3" t="s">
        <v>39</v>
      </c>
      <c r="C15" s="3" t="s">
        <v>39</v>
      </c>
      <c r="D15" s="4" t="s">
        <v>22</v>
      </c>
      <c r="F15">
        <v>3743661247</v>
      </c>
      <c r="G15" s="1" t="s">
        <v>14</v>
      </c>
      <c r="H15" s="1" t="s">
        <v>1095</v>
      </c>
      <c r="I15" s="1" t="s">
        <v>1087</v>
      </c>
      <c r="J15">
        <v>2176</v>
      </c>
      <c r="L15">
        <v>3114182744</v>
      </c>
      <c r="M15" s="1" t="s">
        <v>1433</v>
      </c>
    </row>
    <row r="16" spans="1:13" x14ac:dyDescent="0.25">
      <c r="A16" s="5" t="s">
        <v>41</v>
      </c>
      <c r="B16" s="6" t="s">
        <v>42</v>
      </c>
      <c r="C16" s="6" t="s">
        <v>43</v>
      </c>
      <c r="D16" s="7" t="s">
        <v>7</v>
      </c>
      <c r="F16">
        <v>4779174699</v>
      </c>
      <c r="G16" s="1" t="s">
        <v>1003</v>
      </c>
      <c r="H16" s="1" t="s">
        <v>1096</v>
      </c>
      <c r="I16" s="1" t="s">
        <v>1087</v>
      </c>
      <c r="J16">
        <v>1875</v>
      </c>
      <c r="L16">
        <v>3743661247</v>
      </c>
      <c r="M16" s="1" t="s">
        <v>1434</v>
      </c>
    </row>
    <row r="17" spans="1:13" x14ac:dyDescent="0.25">
      <c r="A17" s="2" t="s">
        <v>44</v>
      </c>
      <c r="B17" s="3" t="s">
        <v>45</v>
      </c>
      <c r="C17" s="3" t="s">
        <v>46</v>
      </c>
      <c r="D17" s="4" t="s">
        <v>7</v>
      </c>
      <c r="F17">
        <v>4715154852</v>
      </c>
      <c r="G17" s="1" t="s">
        <v>1003</v>
      </c>
      <c r="H17" s="1" t="s">
        <v>1097</v>
      </c>
      <c r="I17" s="1" t="s">
        <v>1081</v>
      </c>
      <c r="J17">
        <v>2520</v>
      </c>
      <c r="L17">
        <v>5185759244</v>
      </c>
      <c r="M17" s="1" t="s">
        <v>1435</v>
      </c>
    </row>
    <row r="18" spans="1:13" x14ac:dyDescent="0.25">
      <c r="A18" s="5" t="s">
        <v>47</v>
      </c>
      <c r="B18" s="6" t="s">
        <v>48</v>
      </c>
      <c r="C18" s="6" t="s">
        <v>49</v>
      </c>
      <c r="D18" s="7" t="s">
        <v>7</v>
      </c>
      <c r="F18">
        <v>6758177505</v>
      </c>
      <c r="G18" s="1" t="s">
        <v>869</v>
      </c>
      <c r="H18" s="1" t="s">
        <v>1098</v>
      </c>
      <c r="I18" s="1" t="s">
        <v>1081</v>
      </c>
      <c r="J18">
        <v>2984</v>
      </c>
      <c r="L18">
        <v>5229945534</v>
      </c>
      <c r="M18" s="1" t="s">
        <v>1436</v>
      </c>
    </row>
    <row r="19" spans="1:13" x14ac:dyDescent="0.25">
      <c r="A19" s="2" t="s">
        <v>50</v>
      </c>
      <c r="B19" s="3" t="s">
        <v>51</v>
      </c>
      <c r="C19" s="3" t="s">
        <v>52</v>
      </c>
      <c r="D19" s="4" t="s">
        <v>7</v>
      </c>
      <c r="F19">
        <v>2581219876</v>
      </c>
      <c r="G19" s="1" t="s">
        <v>141</v>
      </c>
      <c r="H19" s="1" t="s">
        <v>1099</v>
      </c>
      <c r="I19" s="1" t="s">
        <v>1087</v>
      </c>
      <c r="J19">
        <v>2685</v>
      </c>
      <c r="L19">
        <v>5266741491</v>
      </c>
      <c r="M19" s="1" t="s">
        <v>1437</v>
      </c>
    </row>
    <row r="20" spans="1:13" x14ac:dyDescent="0.25">
      <c r="A20" s="5" t="s">
        <v>53</v>
      </c>
      <c r="B20" s="6" t="s">
        <v>54</v>
      </c>
      <c r="C20" s="6" t="s">
        <v>55</v>
      </c>
      <c r="D20" s="7" t="s">
        <v>7</v>
      </c>
      <c r="F20">
        <v>3568004264</v>
      </c>
      <c r="G20" s="1" t="s">
        <v>428</v>
      </c>
      <c r="H20" s="1" t="s">
        <v>1100</v>
      </c>
      <c r="I20" s="1" t="s">
        <v>1081</v>
      </c>
      <c r="J20">
        <v>2438</v>
      </c>
      <c r="L20">
        <v>1246489959</v>
      </c>
      <c r="M20" s="1" t="s">
        <v>1438</v>
      </c>
    </row>
    <row r="21" spans="1:13" x14ac:dyDescent="0.25">
      <c r="A21" s="2" t="s">
        <v>56</v>
      </c>
      <c r="B21" s="3" t="s">
        <v>57</v>
      </c>
      <c r="C21" s="3" t="s">
        <v>58</v>
      </c>
      <c r="D21" s="4" t="s">
        <v>7</v>
      </c>
      <c r="F21">
        <v>6727559092</v>
      </c>
      <c r="G21" s="1" t="s">
        <v>869</v>
      </c>
      <c r="H21" s="1" t="s">
        <v>1101</v>
      </c>
      <c r="I21" s="1" t="s">
        <v>1087</v>
      </c>
      <c r="J21">
        <v>2435</v>
      </c>
      <c r="L21">
        <v>5418968184</v>
      </c>
      <c r="M21" s="1" t="s">
        <v>1439</v>
      </c>
    </row>
    <row r="22" spans="1:13" x14ac:dyDescent="0.25">
      <c r="A22" s="5" t="s">
        <v>59</v>
      </c>
      <c r="B22" s="6" t="s">
        <v>60</v>
      </c>
      <c r="C22" s="6" t="s">
        <v>61</v>
      </c>
      <c r="D22" s="7" t="s">
        <v>7</v>
      </c>
      <c r="F22">
        <v>5418968184</v>
      </c>
      <c r="G22" s="1" t="s">
        <v>14</v>
      </c>
      <c r="H22" s="1" t="s">
        <v>1102</v>
      </c>
      <c r="I22" s="1" t="s">
        <v>1081</v>
      </c>
      <c r="J22">
        <v>1806</v>
      </c>
      <c r="L22">
        <v>1165493421</v>
      </c>
      <c r="M22" s="1" t="s">
        <v>1440</v>
      </c>
    </row>
    <row r="23" spans="1:13" x14ac:dyDescent="0.25">
      <c r="A23" s="2" t="s">
        <v>62</v>
      </c>
      <c r="B23" s="3" t="s">
        <v>63</v>
      </c>
      <c r="C23" s="3" t="s">
        <v>64</v>
      </c>
      <c r="D23" s="4" t="s">
        <v>7</v>
      </c>
      <c r="F23">
        <v>4956781088</v>
      </c>
      <c r="G23" s="1" t="s">
        <v>184</v>
      </c>
      <c r="H23" s="1" t="s">
        <v>1103</v>
      </c>
      <c r="I23" s="1" t="s">
        <v>1087</v>
      </c>
      <c r="J23">
        <v>2156</v>
      </c>
      <c r="L23">
        <v>4580185570</v>
      </c>
      <c r="M23" s="1" t="s">
        <v>1441</v>
      </c>
    </row>
    <row r="24" spans="1:13" x14ac:dyDescent="0.25">
      <c r="A24" s="5" t="s">
        <v>65</v>
      </c>
      <c r="B24" s="6" t="s">
        <v>63</v>
      </c>
      <c r="C24" s="6" t="s">
        <v>66</v>
      </c>
      <c r="D24" s="7" t="s">
        <v>7</v>
      </c>
      <c r="F24">
        <v>5341884086</v>
      </c>
      <c r="G24" s="1" t="s">
        <v>14</v>
      </c>
      <c r="H24" s="1" t="s">
        <v>1104</v>
      </c>
      <c r="I24" s="1" t="s">
        <v>1087</v>
      </c>
      <c r="J24">
        <v>1908</v>
      </c>
      <c r="L24">
        <v>2599394621</v>
      </c>
      <c r="M24" s="1" t="s">
        <v>1442</v>
      </c>
    </row>
    <row r="25" spans="1:13" x14ac:dyDescent="0.25">
      <c r="A25" s="2" t="s">
        <v>67</v>
      </c>
      <c r="B25" s="3" t="s">
        <v>68</v>
      </c>
      <c r="C25" s="3" t="s">
        <v>69</v>
      </c>
      <c r="D25" s="4" t="s">
        <v>7</v>
      </c>
      <c r="F25">
        <v>1939065269</v>
      </c>
      <c r="G25" s="1" t="s">
        <v>636</v>
      </c>
      <c r="H25" s="1" t="s">
        <v>1105</v>
      </c>
      <c r="I25" s="1" t="s">
        <v>1087</v>
      </c>
      <c r="J25">
        <v>3156</v>
      </c>
      <c r="L25">
        <v>4531538788</v>
      </c>
      <c r="M25" s="1" t="s">
        <v>1443</v>
      </c>
    </row>
    <row r="26" spans="1:13" x14ac:dyDescent="0.25">
      <c r="A26" s="5" t="s">
        <v>70</v>
      </c>
      <c r="B26" s="6" t="s">
        <v>71</v>
      </c>
      <c r="C26" s="6" t="s">
        <v>72</v>
      </c>
      <c r="D26" s="7" t="s">
        <v>7</v>
      </c>
      <c r="F26">
        <v>4715154852</v>
      </c>
      <c r="G26" s="1" t="s">
        <v>1003</v>
      </c>
      <c r="H26" s="1" t="s">
        <v>1106</v>
      </c>
      <c r="I26" s="1" t="s">
        <v>1081</v>
      </c>
      <c r="J26">
        <v>2276</v>
      </c>
      <c r="L26">
        <v>4458233905</v>
      </c>
      <c r="M26" s="1" t="s">
        <v>1444</v>
      </c>
    </row>
    <row r="27" spans="1:13" x14ac:dyDescent="0.25">
      <c r="A27" s="2" t="s">
        <v>73</v>
      </c>
      <c r="B27" s="3" t="s">
        <v>74</v>
      </c>
      <c r="C27" s="3" t="s">
        <v>75</v>
      </c>
      <c r="D27" s="4" t="s">
        <v>7</v>
      </c>
      <c r="F27">
        <v>5115061689</v>
      </c>
      <c r="G27" s="1" t="s">
        <v>704</v>
      </c>
      <c r="H27" s="1" t="s">
        <v>1107</v>
      </c>
      <c r="I27" s="1" t="s">
        <v>1087</v>
      </c>
      <c r="J27">
        <v>1627</v>
      </c>
      <c r="L27">
        <v>4326751508</v>
      </c>
      <c r="M27" s="1" t="s">
        <v>1445</v>
      </c>
    </row>
    <row r="28" spans="1:13" x14ac:dyDescent="0.25">
      <c r="A28" s="5" t="s">
        <v>76</v>
      </c>
      <c r="B28" s="6" t="s">
        <v>77</v>
      </c>
      <c r="C28" s="6" t="s">
        <v>78</v>
      </c>
      <c r="D28" s="7" t="s">
        <v>7</v>
      </c>
      <c r="F28">
        <v>4326751508</v>
      </c>
      <c r="G28" s="1" t="s">
        <v>40</v>
      </c>
      <c r="H28" s="1" t="s">
        <v>1108</v>
      </c>
      <c r="I28" s="1" t="s">
        <v>1087</v>
      </c>
      <c r="J28">
        <v>2060</v>
      </c>
      <c r="L28">
        <v>4761158900</v>
      </c>
      <c r="M28" s="1" t="s">
        <v>1446</v>
      </c>
    </row>
    <row r="29" spans="1:13" x14ac:dyDescent="0.25">
      <c r="A29" s="2" t="s">
        <v>79</v>
      </c>
      <c r="B29" s="3" t="s">
        <v>78</v>
      </c>
      <c r="C29" s="3" t="s">
        <v>78</v>
      </c>
      <c r="D29" s="4" t="s">
        <v>22</v>
      </c>
      <c r="F29">
        <v>1581329071</v>
      </c>
      <c r="G29" s="1" t="s">
        <v>14</v>
      </c>
      <c r="H29" s="1" t="s">
        <v>1109</v>
      </c>
      <c r="I29" s="1" t="s">
        <v>1087</v>
      </c>
      <c r="J29">
        <v>2236</v>
      </c>
      <c r="L29">
        <v>4653095092</v>
      </c>
      <c r="M29" s="1" t="s">
        <v>1447</v>
      </c>
    </row>
    <row r="30" spans="1:13" x14ac:dyDescent="0.25">
      <c r="A30" s="5" t="s">
        <v>80</v>
      </c>
      <c r="B30" s="6" t="s">
        <v>81</v>
      </c>
      <c r="C30" s="6" t="s">
        <v>81</v>
      </c>
      <c r="D30" s="7" t="s">
        <v>22</v>
      </c>
      <c r="F30">
        <v>4326751508</v>
      </c>
      <c r="G30" s="1" t="s">
        <v>40</v>
      </c>
      <c r="H30" s="1" t="s">
        <v>1110</v>
      </c>
      <c r="I30" s="1" t="s">
        <v>1081</v>
      </c>
      <c r="J30">
        <v>2000</v>
      </c>
      <c r="L30">
        <v>3678947206</v>
      </c>
      <c r="M30" s="1" t="s">
        <v>1448</v>
      </c>
    </row>
    <row r="31" spans="1:13" x14ac:dyDescent="0.25">
      <c r="A31" s="2" t="s">
        <v>82</v>
      </c>
      <c r="B31" s="3" t="s">
        <v>83</v>
      </c>
      <c r="C31" s="3" t="s">
        <v>84</v>
      </c>
      <c r="D31" s="4" t="s">
        <v>7</v>
      </c>
      <c r="F31">
        <v>3470453173</v>
      </c>
      <c r="G31" s="1" t="s">
        <v>85</v>
      </c>
      <c r="H31" s="1" t="s">
        <v>1111</v>
      </c>
      <c r="I31" s="1" t="s">
        <v>1081</v>
      </c>
      <c r="J31">
        <v>2040</v>
      </c>
      <c r="L31">
        <v>2245871126</v>
      </c>
      <c r="M31" s="1" t="s">
        <v>1449</v>
      </c>
    </row>
    <row r="32" spans="1:13" x14ac:dyDescent="0.25">
      <c r="A32" s="5" t="s">
        <v>85</v>
      </c>
      <c r="B32" s="6" t="s">
        <v>86</v>
      </c>
      <c r="C32" s="6" t="s">
        <v>86</v>
      </c>
      <c r="D32" s="7" t="s">
        <v>22</v>
      </c>
      <c r="F32">
        <v>1433397952</v>
      </c>
      <c r="G32" s="1" t="s">
        <v>314</v>
      </c>
      <c r="H32" s="1" t="s">
        <v>1112</v>
      </c>
      <c r="I32" s="1" t="s">
        <v>1087</v>
      </c>
      <c r="J32">
        <v>2734</v>
      </c>
      <c r="L32">
        <v>5459753232</v>
      </c>
      <c r="M32" s="1" t="s">
        <v>1450</v>
      </c>
    </row>
    <row r="33" spans="1:13" x14ac:dyDescent="0.25">
      <c r="A33" s="2" t="s">
        <v>87</v>
      </c>
      <c r="B33" s="3" t="s">
        <v>88</v>
      </c>
      <c r="C33" s="3" t="s">
        <v>89</v>
      </c>
      <c r="D33" s="4" t="s">
        <v>7</v>
      </c>
      <c r="F33">
        <v>3783578981</v>
      </c>
      <c r="G33" s="1" t="s">
        <v>405</v>
      </c>
      <c r="H33" s="1" t="s">
        <v>1113</v>
      </c>
      <c r="I33" s="1" t="s">
        <v>1081</v>
      </c>
      <c r="J33">
        <v>1935</v>
      </c>
      <c r="L33">
        <v>5514533376</v>
      </c>
      <c r="M33" s="1" t="s">
        <v>1451</v>
      </c>
    </row>
    <row r="34" spans="1:13" x14ac:dyDescent="0.25">
      <c r="A34" s="5" t="s">
        <v>90</v>
      </c>
      <c r="B34" s="6" t="s">
        <v>91</v>
      </c>
      <c r="C34" s="6" t="s">
        <v>86</v>
      </c>
      <c r="D34" s="7" t="s">
        <v>7</v>
      </c>
      <c r="F34">
        <v>2581219876</v>
      </c>
      <c r="G34" s="1" t="s">
        <v>141</v>
      </c>
      <c r="H34" s="1" t="s">
        <v>1114</v>
      </c>
      <c r="I34" s="1" t="s">
        <v>1087</v>
      </c>
      <c r="J34">
        <v>2818</v>
      </c>
      <c r="L34">
        <v>1820566794</v>
      </c>
      <c r="M34" s="1" t="s">
        <v>1452</v>
      </c>
    </row>
    <row r="35" spans="1:13" x14ac:dyDescent="0.25">
      <c r="A35" s="2" t="s">
        <v>92</v>
      </c>
      <c r="B35" s="3" t="s">
        <v>93</v>
      </c>
      <c r="C35" s="3" t="s">
        <v>94</v>
      </c>
      <c r="D35" s="4" t="s">
        <v>7</v>
      </c>
      <c r="F35">
        <v>4796841112</v>
      </c>
      <c r="G35" s="1" t="s">
        <v>533</v>
      </c>
      <c r="H35" s="1" t="s">
        <v>1115</v>
      </c>
      <c r="I35" s="1" t="s">
        <v>1081</v>
      </c>
      <c r="J35">
        <v>2668</v>
      </c>
      <c r="L35">
        <v>3783578981</v>
      </c>
      <c r="M35" s="1" t="s">
        <v>1453</v>
      </c>
    </row>
    <row r="36" spans="1:13" x14ac:dyDescent="0.25">
      <c r="A36" s="5" t="s">
        <v>95</v>
      </c>
      <c r="B36" s="6" t="s">
        <v>96</v>
      </c>
      <c r="C36" s="6" t="s">
        <v>97</v>
      </c>
      <c r="D36" s="7" t="s">
        <v>7</v>
      </c>
      <c r="F36">
        <v>4715154852</v>
      </c>
      <c r="G36" s="1" t="s">
        <v>1003</v>
      </c>
      <c r="H36" s="1" t="s">
        <v>1116</v>
      </c>
      <c r="I36" s="1" t="s">
        <v>1087</v>
      </c>
      <c r="J36">
        <v>2700</v>
      </c>
      <c r="L36">
        <v>1127056356</v>
      </c>
      <c r="M36" s="1" t="s">
        <v>1454</v>
      </c>
    </row>
    <row r="37" spans="1:13" x14ac:dyDescent="0.25">
      <c r="A37" s="2" t="s">
        <v>98</v>
      </c>
      <c r="B37" s="3" t="s">
        <v>99</v>
      </c>
      <c r="C37" s="3" t="s">
        <v>99</v>
      </c>
      <c r="D37" s="4" t="s">
        <v>22</v>
      </c>
      <c r="F37">
        <v>4241680809</v>
      </c>
      <c r="G37" s="1" t="s">
        <v>14</v>
      </c>
      <c r="H37" s="1" t="s">
        <v>1117</v>
      </c>
      <c r="I37" s="1" t="s">
        <v>1087</v>
      </c>
      <c r="J37">
        <v>2496</v>
      </c>
      <c r="L37">
        <v>1278408463</v>
      </c>
      <c r="M37" s="1" t="s">
        <v>1455</v>
      </c>
    </row>
    <row r="38" spans="1:13" x14ac:dyDescent="0.25">
      <c r="A38" s="5" t="s">
        <v>100</v>
      </c>
      <c r="B38" s="6" t="s">
        <v>101</v>
      </c>
      <c r="C38" s="6" t="s">
        <v>102</v>
      </c>
      <c r="D38" s="7" t="s">
        <v>7</v>
      </c>
      <c r="F38">
        <v>1617995032</v>
      </c>
      <c r="G38" s="1" t="s">
        <v>892</v>
      </c>
      <c r="H38" s="1" t="s">
        <v>1118</v>
      </c>
      <c r="I38" s="1" t="s">
        <v>1087</v>
      </c>
      <c r="J38">
        <v>2148</v>
      </c>
      <c r="L38">
        <v>3866883575</v>
      </c>
      <c r="M38" s="1" t="s">
        <v>1456</v>
      </c>
    </row>
    <row r="39" spans="1:13" x14ac:dyDescent="0.25">
      <c r="A39" s="2" t="s">
        <v>103</v>
      </c>
      <c r="B39" s="3" t="s">
        <v>104</v>
      </c>
      <c r="C39" s="3" t="s">
        <v>105</v>
      </c>
      <c r="D39" s="4" t="s">
        <v>7</v>
      </c>
      <c r="F39">
        <v>1433397952</v>
      </c>
      <c r="G39" s="1" t="s">
        <v>314</v>
      </c>
      <c r="H39" s="1" t="s">
        <v>1119</v>
      </c>
      <c r="I39" s="1" t="s">
        <v>1081</v>
      </c>
      <c r="J39">
        <v>2160</v>
      </c>
      <c r="L39">
        <v>2138598159</v>
      </c>
      <c r="M39" s="1" t="s">
        <v>1457</v>
      </c>
    </row>
    <row r="40" spans="1:13" x14ac:dyDescent="0.25">
      <c r="A40" s="5" t="s">
        <v>106</v>
      </c>
      <c r="B40" s="6" t="s">
        <v>107</v>
      </c>
      <c r="C40" s="6" t="s">
        <v>108</v>
      </c>
      <c r="D40" s="7" t="s">
        <v>7</v>
      </c>
      <c r="F40">
        <v>4326751508</v>
      </c>
      <c r="G40" s="1" t="s">
        <v>405</v>
      </c>
      <c r="H40" s="1" t="s">
        <v>1120</v>
      </c>
      <c r="I40" s="1" t="s">
        <v>1087</v>
      </c>
      <c r="J40">
        <v>2056</v>
      </c>
      <c r="L40">
        <v>2119268767</v>
      </c>
      <c r="M40" s="1" t="s">
        <v>1458</v>
      </c>
    </row>
    <row r="41" spans="1:13" x14ac:dyDescent="0.25">
      <c r="A41" s="2" t="s">
        <v>109</v>
      </c>
      <c r="B41" s="3" t="s">
        <v>110</v>
      </c>
      <c r="C41" s="3" t="s">
        <v>111</v>
      </c>
      <c r="D41" s="4" t="s">
        <v>7</v>
      </c>
      <c r="F41">
        <v>1246489959</v>
      </c>
      <c r="G41" s="1" t="s">
        <v>14</v>
      </c>
      <c r="H41" s="1" t="s">
        <v>1121</v>
      </c>
      <c r="I41" s="1" t="s">
        <v>1087</v>
      </c>
      <c r="J41">
        <v>1812</v>
      </c>
      <c r="L41">
        <v>1433397952</v>
      </c>
      <c r="M41" s="1" t="s">
        <v>1459</v>
      </c>
    </row>
    <row r="42" spans="1:13" x14ac:dyDescent="0.25">
      <c r="A42" s="5" t="s">
        <v>112</v>
      </c>
      <c r="B42" s="6" t="s">
        <v>113</v>
      </c>
      <c r="C42" s="6" t="s">
        <v>114</v>
      </c>
      <c r="D42" s="7" t="s">
        <v>7</v>
      </c>
      <c r="F42">
        <v>4241680809</v>
      </c>
      <c r="G42" s="1" t="s">
        <v>14</v>
      </c>
      <c r="H42" s="1" t="s">
        <v>1122</v>
      </c>
      <c r="I42" s="1" t="s">
        <v>1087</v>
      </c>
      <c r="J42">
        <v>2664</v>
      </c>
      <c r="L42">
        <v>3568004264</v>
      </c>
      <c r="M42" s="1" t="s">
        <v>1460</v>
      </c>
    </row>
    <row r="43" spans="1:13" x14ac:dyDescent="0.25">
      <c r="A43" s="2" t="s">
        <v>115</v>
      </c>
      <c r="B43" s="3" t="s">
        <v>116</v>
      </c>
      <c r="C43" s="3" t="s">
        <v>116</v>
      </c>
      <c r="D43" s="4" t="s">
        <v>22</v>
      </c>
      <c r="F43">
        <v>3470453173</v>
      </c>
      <c r="G43" s="1" t="s">
        <v>85</v>
      </c>
      <c r="H43" s="1" t="s">
        <v>1123</v>
      </c>
      <c r="I43" s="1" t="s">
        <v>1087</v>
      </c>
      <c r="J43">
        <v>2872</v>
      </c>
      <c r="L43">
        <v>4779174699</v>
      </c>
      <c r="M43" s="1" t="s">
        <v>1461</v>
      </c>
    </row>
    <row r="44" spans="1:13" x14ac:dyDescent="0.25">
      <c r="A44" s="5" t="s">
        <v>117</v>
      </c>
      <c r="B44" s="6" t="s">
        <v>118</v>
      </c>
      <c r="C44" s="6" t="s">
        <v>116</v>
      </c>
      <c r="D44" s="7" t="s">
        <v>7</v>
      </c>
      <c r="F44">
        <v>3568004264</v>
      </c>
      <c r="G44" s="1" t="s">
        <v>428</v>
      </c>
      <c r="H44" s="1" t="s">
        <v>1124</v>
      </c>
      <c r="I44" s="1" t="s">
        <v>1087</v>
      </c>
      <c r="J44">
        <v>1928</v>
      </c>
      <c r="L44">
        <v>3357631311</v>
      </c>
      <c r="M44" s="1" t="s">
        <v>1462</v>
      </c>
    </row>
    <row r="45" spans="1:13" x14ac:dyDescent="0.25">
      <c r="A45" s="2" t="s">
        <v>119</v>
      </c>
      <c r="B45" s="3" t="s">
        <v>120</v>
      </c>
      <c r="C45" s="3" t="s">
        <v>121</v>
      </c>
      <c r="D45" s="4" t="s">
        <v>7</v>
      </c>
      <c r="F45">
        <v>1617995032</v>
      </c>
      <c r="G45" s="1" t="s">
        <v>892</v>
      </c>
      <c r="H45" s="1" t="s">
        <v>1125</v>
      </c>
      <c r="I45" s="1" t="s">
        <v>1087</v>
      </c>
      <c r="J45">
        <v>2194</v>
      </c>
      <c r="L45">
        <v>2281651150</v>
      </c>
      <c r="M45" s="1" t="s">
        <v>1463</v>
      </c>
    </row>
    <row r="46" spans="1:13" x14ac:dyDescent="0.25">
      <c r="A46" s="5" t="s">
        <v>122</v>
      </c>
      <c r="B46" s="6" t="s">
        <v>123</v>
      </c>
      <c r="C46" s="6" t="s">
        <v>123</v>
      </c>
      <c r="D46" s="7" t="s">
        <v>22</v>
      </c>
      <c r="F46">
        <v>2119268767</v>
      </c>
      <c r="G46" s="1" t="s">
        <v>141</v>
      </c>
      <c r="H46" s="1" t="s">
        <v>1126</v>
      </c>
      <c r="I46" s="1" t="s">
        <v>1087</v>
      </c>
      <c r="J46">
        <v>2114</v>
      </c>
      <c r="L46">
        <v>1939065269</v>
      </c>
      <c r="M46" s="1" t="s">
        <v>1464</v>
      </c>
    </row>
    <row r="47" spans="1:13" x14ac:dyDescent="0.25">
      <c r="A47" s="2" t="s">
        <v>124</v>
      </c>
      <c r="B47" s="3" t="s">
        <v>125</v>
      </c>
      <c r="C47" s="3" t="s">
        <v>126</v>
      </c>
      <c r="D47" s="4" t="s">
        <v>7</v>
      </c>
      <c r="F47">
        <v>5341884086</v>
      </c>
      <c r="G47" s="1" t="s">
        <v>270</v>
      </c>
      <c r="H47" s="1" t="s">
        <v>1127</v>
      </c>
      <c r="I47" s="1" t="s">
        <v>1087</v>
      </c>
      <c r="J47">
        <v>2364</v>
      </c>
      <c r="L47">
        <v>5115061689</v>
      </c>
      <c r="M47" s="1" t="s">
        <v>1465</v>
      </c>
    </row>
    <row r="48" spans="1:13" x14ac:dyDescent="0.25">
      <c r="A48" s="5" t="s">
        <v>127</v>
      </c>
      <c r="B48" s="6" t="s">
        <v>128</v>
      </c>
      <c r="C48" s="6" t="s">
        <v>129</v>
      </c>
      <c r="D48" s="7" t="s">
        <v>7</v>
      </c>
      <c r="F48">
        <v>4779174699</v>
      </c>
      <c r="G48" s="1" t="s">
        <v>1003</v>
      </c>
      <c r="H48" s="1" t="s">
        <v>1128</v>
      </c>
      <c r="I48" s="1" t="s">
        <v>1087</v>
      </c>
      <c r="J48">
        <v>2462</v>
      </c>
      <c r="L48">
        <v>4796841112</v>
      </c>
      <c r="M48" s="1" t="s">
        <v>1466</v>
      </c>
    </row>
    <row r="49" spans="1:13" x14ac:dyDescent="0.25">
      <c r="A49" s="2" t="s">
        <v>130</v>
      </c>
      <c r="B49" s="3" t="s">
        <v>131</v>
      </c>
      <c r="C49" s="3" t="s">
        <v>132</v>
      </c>
      <c r="D49" s="4" t="s">
        <v>7</v>
      </c>
      <c r="F49">
        <v>1939065269</v>
      </c>
      <c r="G49" s="1" t="s">
        <v>636</v>
      </c>
      <c r="H49" s="1" t="s">
        <v>1129</v>
      </c>
      <c r="I49" s="1" t="s">
        <v>1087</v>
      </c>
      <c r="J49">
        <v>2696</v>
      </c>
      <c r="L49">
        <v>1617995032</v>
      </c>
      <c r="M49" s="1" t="s">
        <v>1467</v>
      </c>
    </row>
    <row r="50" spans="1:13" x14ac:dyDescent="0.25">
      <c r="A50" s="5" t="s">
        <v>133</v>
      </c>
      <c r="B50" s="6" t="s">
        <v>134</v>
      </c>
      <c r="C50" s="6" t="s">
        <v>135</v>
      </c>
      <c r="D50" s="7" t="s">
        <v>7</v>
      </c>
      <c r="F50">
        <v>1939065269</v>
      </c>
      <c r="G50" s="1" t="s">
        <v>636</v>
      </c>
      <c r="H50" s="1" t="s">
        <v>1130</v>
      </c>
      <c r="I50" s="1" t="s">
        <v>1081</v>
      </c>
      <c r="J50">
        <v>2073</v>
      </c>
      <c r="L50">
        <v>2214740049</v>
      </c>
      <c r="M50" s="1" t="s">
        <v>1468</v>
      </c>
    </row>
    <row r="51" spans="1:13" x14ac:dyDescent="0.25">
      <c r="A51" s="2" t="s">
        <v>136</v>
      </c>
      <c r="B51" s="3" t="s">
        <v>137</v>
      </c>
      <c r="C51" s="3" t="s">
        <v>138</v>
      </c>
      <c r="D51" s="4" t="s">
        <v>7</v>
      </c>
      <c r="F51">
        <v>5459753232</v>
      </c>
      <c r="G51" s="1" t="s">
        <v>737</v>
      </c>
      <c r="H51" s="1" t="s">
        <v>1131</v>
      </c>
      <c r="I51" s="1" t="s">
        <v>1087</v>
      </c>
      <c r="J51">
        <v>1629</v>
      </c>
      <c r="L51">
        <v>1620242236</v>
      </c>
      <c r="M51" s="1" t="s">
        <v>1469</v>
      </c>
    </row>
    <row r="52" spans="1:13" x14ac:dyDescent="0.25">
      <c r="A52" s="5" t="s">
        <v>139</v>
      </c>
      <c r="B52" s="6" t="s">
        <v>140</v>
      </c>
      <c r="C52" s="6" t="s">
        <v>140</v>
      </c>
      <c r="D52" s="7" t="s">
        <v>22</v>
      </c>
      <c r="F52">
        <v>4761158900</v>
      </c>
      <c r="G52" s="1" t="s">
        <v>294</v>
      </c>
      <c r="H52" s="1" t="s">
        <v>1132</v>
      </c>
      <c r="I52" s="1" t="s">
        <v>1087</v>
      </c>
      <c r="J52">
        <v>2139</v>
      </c>
      <c r="L52">
        <v>3579231044</v>
      </c>
      <c r="M52" s="1" t="s">
        <v>1470</v>
      </c>
    </row>
    <row r="53" spans="1:13" x14ac:dyDescent="0.25">
      <c r="A53" s="2" t="s">
        <v>141</v>
      </c>
      <c r="B53" s="3" t="s">
        <v>142</v>
      </c>
      <c r="C53" s="3" t="s">
        <v>140</v>
      </c>
      <c r="D53" s="4" t="s">
        <v>7</v>
      </c>
      <c r="F53">
        <v>1127056356</v>
      </c>
      <c r="G53" s="1" t="s">
        <v>317</v>
      </c>
      <c r="H53" s="1" t="s">
        <v>1133</v>
      </c>
      <c r="I53" s="1" t="s">
        <v>1087</v>
      </c>
      <c r="J53">
        <v>2944</v>
      </c>
      <c r="L53">
        <v>6727559092</v>
      </c>
      <c r="M53" s="1" t="s">
        <v>1471</v>
      </c>
    </row>
    <row r="54" spans="1:13" x14ac:dyDescent="0.25">
      <c r="A54" s="5" t="s">
        <v>143</v>
      </c>
      <c r="B54" s="6" t="s">
        <v>144</v>
      </c>
      <c r="C54" s="6" t="s">
        <v>145</v>
      </c>
      <c r="D54" s="7" t="s">
        <v>7</v>
      </c>
      <c r="F54">
        <v>1361555378</v>
      </c>
      <c r="G54" s="1" t="s">
        <v>270</v>
      </c>
      <c r="H54" s="1" t="s">
        <v>1134</v>
      </c>
      <c r="I54" s="1" t="s">
        <v>1081</v>
      </c>
      <c r="J54">
        <v>2250</v>
      </c>
      <c r="L54">
        <v>4956781088</v>
      </c>
      <c r="M54" s="1" t="s">
        <v>1472</v>
      </c>
    </row>
    <row r="55" spans="1:13" x14ac:dyDescent="0.25">
      <c r="A55" s="2" t="s">
        <v>146</v>
      </c>
      <c r="B55" s="3" t="s">
        <v>147</v>
      </c>
      <c r="C55" s="3" t="s">
        <v>148</v>
      </c>
      <c r="D55" s="4" t="s">
        <v>7</v>
      </c>
      <c r="F55">
        <v>1278408463</v>
      </c>
      <c r="G55" s="1" t="s">
        <v>314</v>
      </c>
      <c r="H55" s="1" t="s">
        <v>1135</v>
      </c>
      <c r="I55" s="1" t="s">
        <v>1087</v>
      </c>
      <c r="J55">
        <v>2190</v>
      </c>
      <c r="L55">
        <v>4715154852</v>
      </c>
      <c r="M55" s="1" t="s">
        <v>1473</v>
      </c>
    </row>
    <row r="56" spans="1:13" x14ac:dyDescent="0.25">
      <c r="A56" s="5" t="s">
        <v>149</v>
      </c>
      <c r="B56" s="6" t="s">
        <v>150</v>
      </c>
      <c r="C56" s="6" t="s">
        <v>150</v>
      </c>
      <c r="D56" s="7" t="s">
        <v>22</v>
      </c>
      <c r="F56">
        <v>3114182744</v>
      </c>
      <c r="G56" s="1" t="s">
        <v>270</v>
      </c>
      <c r="H56" s="1" t="s">
        <v>1136</v>
      </c>
      <c r="I56" s="1" t="s">
        <v>1087</v>
      </c>
      <c r="J56">
        <v>2074</v>
      </c>
      <c r="L56">
        <v>2581219876</v>
      </c>
      <c r="M56" s="1" t="s">
        <v>1474</v>
      </c>
    </row>
    <row r="57" spans="1:13" x14ac:dyDescent="0.25">
      <c r="A57" s="2" t="s">
        <v>151</v>
      </c>
      <c r="B57" s="3" t="s">
        <v>152</v>
      </c>
      <c r="C57" s="3" t="s">
        <v>153</v>
      </c>
      <c r="D57" s="4" t="s">
        <v>7</v>
      </c>
      <c r="F57">
        <v>4458233905</v>
      </c>
      <c r="G57" s="1" t="s">
        <v>1003</v>
      </c>
      <c r="H57" s="1" t="s">
        <v>1137</v>
      </c>
      <c r="I57" s="1" t="s">
        <v>1081</v>
      </c>
      <c r="J57">
        <v>1200</v>
      </c>
      <c r="L57">
        <v>3345883725</v>
      </c>
      <c r="M57" s="1" t="s">
        <v>1475</v>
      </c>
    </row>
    <row r="58" spans="1:13" x14ac:dyDescent="0.25">
      <c r="A58" s="5" t="s">
        <v>154</v>
      </c>
      <c r="B58" s="6" t="s">
        <v>155</v>
      </c>
      <c r="C58" s="6" t="s">
        <v>155</v>
      </c>
      <c r="D58" s="7" t="s">
        <v>22</v>
      </c>
      <c r="F58">
        <v>1617995032</v>
      </c>
      <c r="G58" s="1" t="s">
        <v>892</v>
      </c>
      <c r="H58" s="1" t="s">
        <v>1138</v>
      </c>
      <c r="I58" s="1" t="s">
        <v>1081</v>
      </c>
      <c r="J58">
        <v>1965</v>
      </c>
      <c r="L58">
        <v>5624201652</v>
      </c>
      <c r="M58" s="1" t="s">
        <v>1476</v>
      </c>
    </row>
    <row r="59" spans="1:13" x14ac:dyDescent="0.25">
      <c r="A59" s="2" t="s">
        <v>156</v>
      </c>
      <c r="B59" s="3" t="s">
        <v>157</v>
      </c>
      <c r="C59" s="3" t="s">
        <v>158</v>
      </c>
      <c r="D59" s="4" t="s">
        <v>7</v>
      </c>
      <c r="F59">
        <v>4761158900</v>
      </c>
      <c r="G59" s="1" t="s">
        <v>294</v>
      </c>
      <c r="H59" s="1" t="s">
        <v>1139</v>
      </c>
      <c r="I59" s="1" t="s">
        <v>1081</v>
      </c>
      <c r="J59">
        <v>1894</v>
      </c>
      <c r="L59">
        <v>5581610439</v>
      </c>
      <c r="M59" s="1" t="s">
        <v>1477</v>
      </c>
    </row>
    <row r="60" spans="1:13" x14ac:dyDescent="0.25">
      <c r="A60" s="5" t="s">
        <v>159</v>
      </c>
      <c r="B60" s="6" t="s">
        <v>160</v>
      </c>
      <c r="C60" s="6" t="s">
        <v>160</v>
      </c>
      <c r="D60" s="7" t="s">
        <v>22</v>
      </c>
      <c r="F60">
        <v>4241680809</v>
      </c>
      <c r="G60" s="1" t="s">
        <v>270</v>
      </c>
      <c r="H60" s="1" t="s">
        <v>1140</v>
      </c>
      <c r="I60" s="1" t="s">
        <v>1087</v>
      </c>
      <c r="J60">
        <v>1946</v>
      </c>
      <c r="L60">
        <v>3470453173</v>
      </c>
      <c r="M60" s="1" t="s">
        <v>1478</v>
      </c>
    </row>
    <row r="61" spans="1:13" x14ac:dyDescent="0.25">
      <c r="A61" s="2" t="s">
        <v>161</v>
      </c>
      <c r="B61" s="3" t="s">
        <v>162</v>
      </c>
      <c r="C61" s="3" t="s">
        <v>160</v>
      </c>
      <c r="D61" s="4" t="s">
        <v>7</v>
      </c>
      <c r="F61">
        <v>1524870307</v>
      </c>
      <c r="G61" s="1" t="s">
        <v>270</v>
      </c>
      <c r="H61" s="1" t="s">
        <v>1141</v>
      </c>
      <c r="I61" s="1" t="s">
        <v>1081</v>
      </c>
      <c r="J61">
        <v>1810</v>
      </c>
      <c r="L61">
        <v>6758177505</v>
      </c>
      <c r="M61" s="1" t="s">
        <v>1479</v>
      </c>
    </row>
    <row r="62" spans="1:13" x14ac:dyDescent="0.25">
      <c r="A62" s="5" t="s">
        <v>163</v>
      </c>
      <c r="B62" s="6" t="s">
        <v>164</v>
      </c>
      <c r="C62" s="6" t="s">
        <v>165</v>
      </c>
      <c r="D62" s="7" t="s">
        <v>7</v>
      </c>
      <c r="F62">
        <v>1818291355</v>
      </c>
      <c r="G62" s="1" t="s">
        <v>270</v>
      </c>
      <c r="H62" s="1" t="s">
        <v>1142</v>
      </c>
      <c r="I62" s="1" t="s">
        <v>1081</v>
      </c>
      <c r="J62">
        <v>2448</v>
      </c>
    </row>
    <row r="63" spans="1:13" x14ac:dyDescent="0.25">
      <c r="A63" s="2" t="s">
        <v>166</v>
      </c>
      <c r="B63" s="3" t="s">
        <v>167</v>
      </c>
      <c r="C63" s="3" t="s">
        <v>168</v>
      </c>
      <c r="D63" s="4" t="s">
        <v>7</v>
      </c>
      <c r="F63">
        <v>4653095092</v>
      </c>
      <c r="G63" s="1" t="s">
        <v>527</v>
      </c>
      <c r="H63" s="1" t="s">
        <v>1143</v>
      </c>
      <c r="I63" s="1" t="s">
        <v>1087</v>
      </c>
      <c r="J63">
        <v>1995</v>
      </c>
    </row>
    <row r="64" spans="1:13" x14ac:dyDescent="0.25">
      <c r="A64" s="5" t="s">
        <v>169</v>
      </c>
      <c r="B64" s="6" t="s">
        <v>170</v>
      </c>
      <c r="C64" s="6" t="s">
        <v>171</v>
      </c>
      <c r="D64" s="7" t="s">
        <v>7</v>
      </c>
      <c r="F64">
        <v>6758177505</v>
      </c>
      <c r="G64" s="1" t="s">
        <v>869</v>
      </c>
      <c r="H64" s="1" t="s">
        <v>1144</v>
      </c>
      <c r="I64" s="1" t="s">
        <v>1081</v>
      </c>
      <c r="J64">
        <v>2216</v>
      </c>
    </row>
    <row r="65" spans="1:10" x14ac:dyDescent="0.25">
      <c r="A65" s="2" t="s">
        <v>172</v>
      </c>
      <c r="B65" s="3" t="s">
        <v>173</v>
      </c>
      <c r="C65" s="3" t="s">
        <v>174</v>
      </c>
      <c r="D65" s="4" t="s">
        <v>7</v>
      </c>
      <c r="F65">
        <v>1278408463</v>
      </c>
      <c r="G65" s="1" t="s">
        <v>314</v>
      </c>
      <c r="H65" s="1" t="s">
        <v>1145</v>
      </c>
      <c r="I65" s="1" t="s">
        <v>1081</v>
      </c>
      <c r="J65">
        <v>2226</v>
      </c>
    </row>
    <row r="66" spans="1:10" x14ac:dyDescent="0.25">
      <c r="A66" s="5" t="s">
        <v>175</v>
      </c>
      <c r="B66" s="6" t="s">
        <v>176</v>
      </c>
      <c r="C66" s="6" t="s">
        <v>177</v>
      </c>
      <c r="D66" s="7" t="s">
        <v>7</v>
      </c>
      <c r="F66">
        <v>3318203338</v>
      </c>
      <c r="G66" s="1" t="s">
        <v>270</v>
      </c>
      <c r="H66" s="1" t="s">
        <v>1146</v>
      </c>
      <c r="I66" s="1" t="s">
        <v>1081</v>
      </c>
      <c r="J66">
        <v>2640</v>
      </c>
    </row>
    <row r="67" spans="1:10" x14ac:dyDescent="0.25">
      <c r="A67" s="2" t="s">
        <v>178</v>
      </c>
      <c r="B67" s="3" t="s">
        <v>179</v>
      </c>
      <c r="C67" s="3" t="s">
        <v>180</v>
      </c>
      <c r="D67" s="4" t="s">
        <v>7</v>
      </c>
      <c r="F67">
        <v>1617995032</v>
      </c>
      <c r="G67" s="1" t="s">
        <v>892</v>
      </c>
      <c r="H67" s="1" t="s">
        <v>1147</v>
      </c>
      <c r="I67" s="1" t="s">
        <v>1081</v>
      </c>
      <c r="J67">
        <v>2358</v>
      </c>
    </row>
    <row r="68" spans="1:10" x14ac:dyDescent="0.25">
      <c r="A68" s="5" t="s">
        <v>181</v>
      </c>
      <c r="B68" s="6" t="s">
        <v>182</v>
      </c>
      <c r="C68" s="6" t="s">
        <v>183</v>
      </c>
      <c r="D68" s="7" t="s">
        <v>7</v>
      </c>
      <c r="F68">
        <v>4458233905</v>
      </c>
      <c r="G68" s="1" t="s">
        <v>1003</v>
      </c>
      <c r="H68" s="1" t="s">
        <v>1148</v>
      </c>
      <c r="I68" s="1" t="s">
        <v>1087</v>
      </c>
      <c r="J68">
        <v>2175</v>
      </c>
    </row>
    <row r="69" spans="1:10" x14ac:dyDescent="0.25">
      <c r="A69" s="2" t="s">
        <v>184</v>
      </c>
      <c r="B69" s="3" t="s">
        <v>185</v>
      </c>
      <c r="C69" s="3" t="s">
        <v>186</v>
      </c>
      <c r="D69" s="4" t="s">
        <v>7</v>
      </c>
      <c r="F69">
        <v>1361555378</v>
      </c>
      <c r="G69" s="1" t="s">
        <v>270</v>
      </c>
      <c r="H69" s="1" t="s">
        <v>1149</v>
      </c>
      <c r="I69" s="1" t="s">
        <v>1081</v>
      </c>
      <c r="J69">
        <v>2972</v>
      </c>
    </row>
    <row r="70" spans="1:10" x14ac:dyDescent="0.25">
      <c r="A70" s="5" t="s">
        <v>187</v>
      </c>
      <c r="B70" s="6" t="s">
        <v>188</v>
      </c>
      <c r="C70" s="6" t="s">
        <v>188</v>
      </c>
      <c r="D70" s="7" t="s">
        <v>22</v>
      </c>
      <c r="F70">
        <v>6758177505</v>
      </c>
      <c r="G70" s="1" t="s">
        <v>862</v>
      </c>
      <c r="H70" s="1" t="s">
        <v>1150</v>
      </c>
      <c r="I70" s="1" t="s">
        <v>1081</v>
      </c>
      <c r="J70">
        <v>1779</v>
      </c>
    </row>
    <row r="71" spans="1:10" x14ac:dyDescent="0.25">
      <c r="A71" s="2" t="s">
        <v>189</v>
      </c>
      <c r="B71" s="3" t="s">
        <v>190</v>
      </c>
      <c r="C71" s="3" t="s">
        <v>191</v>
      </c>
      <c r="D71" s="4" t="s">
        <v>7</v>
      </c>
      <c r="F71">
        <v>3318203338</v>
      </c>
      <c r="G71" s="1" t="s">
        <v>270</v>
      </c>
      <c r="H71" s="1" t="s">
        <v>1151</v>
      </c>
      <c r="I71" s="1" t="s">
        <v>1087</v>
      </c>
      <c r="J71">
        <v>2165</v>
      </c>
    </row>
    <row r="72" spans="1:10" x14ac:dyDescent="0.25">
      <c r="A72" s="5" t="s">
        <v>192</v>
      </c>
      <c r="B72" s="6" t="s">
        <v>193</v>
      </c>
      <c r="C72" s="6" t="s">
        <v>194</v>
      </c>
      <c r="D72" s="7" t="s">
        <v>7</v>
      </c>
      <c r="F72">
        <v>5459753232</v>
      </c>
      <c r="G72" s="1" t="s">
        <v>737</v>
      </c>
      <c r="H72" s="1" t="s">
        <v>1152</v>
      </c>
      <c r="I72" s="1" t="s">
        <v>1081</v>
      </c>
      <c r="J72">
        <v>2758</v>
      </c>
    </row>
    <row r="73" spans="1:10" x14ac:dyDescent="0.25">
      <c r="A73" s="2" t="s">
        <v>195</v>
      </c>
      <c r="B73" s="3" t="s">
        <v>196</v>
      </c>
      <c r="C73" s="3" t="s">
        <v>197</v>
      </c>
      <c r="D73" s="4" t="s">
        <v>7</v>
      </c>
      <c r="F73">
        <v>4326751508</v>
      </c>
      <c r="G73" s="1" t="s">
        <v>40</v>
      </c>
      <c r="H73" s="1" t="s">
        <v>1153</v>
      </c>
      <c r="I73" s="1" t="s">
        <v>1087</v>
      </c>
      <c r="J73">
        <v>2198</v>
      </c>
    </row>
    <row r="74" spans="1:10" x14ac:dyDescent="0.25">
      <c r="A74" s="5" t="s">
        <v>198</v>
      </c>
      <c r="B74" s="6" t="s">
        <v>199</v>
      </c>
      <c r="C74" s="6" t="s">
        <v>200</v>
      </c>
      <c r="D74" s="7" t="s">
        <v>7</v>
      </c>
      <c r="F74">
        <v>4326751508</v>
      </c>
      <c r="G74" s="1" t="s">
        <v>40</v>
      </c>
      <c r="H74" s="1" t="s">
        <v>1154</v>
      </c>
      <c r="I74" s="1" t="s">
        <v>1087</v>
      </c>
      <c r="J74">
        <v>1902</v>
      </c>
    </row>
    <row r="75" spans="1:10" x14ac:dyDescent="0.25">
      <c r="A75" s="2" t="s">
        <v>201</v>
      </c>
      <c r="B75" s="3" t="s">
        <v>202</v>
      </c>
      <c r="C75" s="3" t="s">
        <v>203</v>
      </c>
      <c r="D75" s="4" t="s">
        <v>7</v>
      </c>
      <c r="F75">
        <v>4458233905</v>
      </c>
      <c r="G75" s="1" t="s">
        <v>270</v>
      </c>
      <c r="H75" s="1" t="s">
        <v>1155</v>
      </c>
      <c r="I75" s="1" t="s">
        <v>1087</v>
      </c>
      <c r="J75">
        <v>2318</v>
      </c>
    </row>
    <row r="76" spans="1:10" x14ac:dyDescent="0.25">
      <c r="A76" s="5" t="s">
        <v>204</v>
      </c>
      <c r="B76" s="6" t="s">
        <v>202</v>
      </c>
      <c r="C76" s="6" t="s">
        <v>205</v>
      </c>
      <c r="D76" s="7" t="s">
        <v>7</v>
      </c>
      <c r="F76">
        <v>3470453173</v>
      </c>
      <c r="G76" s="1" t="s">
        <v>85</v>
      </c>
      <c r="H76" s="1" t="s">
        <v>1156</v>
      </c>
      <c r="I76" s="1" t="s">
        <v>1081</v>
      </c>
      <c r="J76">
        <v>2415</v>
      </c>
    </row>
    <row r="77" spans="1:10" x14ac:dyDescent="0.25">
      <c r="A77" s="2" t="s">
        <v>206</v>
      </c>
      <c r="B77" s="3" t="s">
        <v>207</v>
      </c>
      <c r="C77" s="3" t="s">
        <v>208</v>
      </c>
      <c r="D77" s="4" t="s">
        <v>7</v>
      </c>
      <c r="F77">
        <v>1524870307</v>
      </c>
      <c r="G77" s="1" t="s">
        <v>270</v>
      </c>
      <c r="H77" s="1" t="s">
        <v>1157</v>
      </c>
      <c r="I77" s="1" t="s">
        <v>1087</v>
      </c>
      <c r="J77">
        <v>1893</v>
      </c>
    </row>
    <row r="78" spans="1:10" x14ac:dyDescent="0.25">
      <c r="A78" s="5" t="s">
        <v>209</v>
      </c>
      <c r="B78" s="6" t="s">
        <v>210</v>
      </c>
      <c r="C78" s="6" t="s">
        <v>210</v>
      </c>
      <c r="D78" s="7" t="s">
        <v>22</v>
      </c>
      <c r="F78">
        <v>2245871126</v>
      </c>
      <c r="G78" s="1" t="s">
        <v>73</v>
      </c>
      <c r="H78" s="1" t="s">
        <v>1158</v>
      </c>
      <c r="I78" s="1" t="s">
        <v>1087</v>
      </c>
      <c r="J78">
        <v>1950</v>
      </c>
    </row>
    <row r="79" spans="1:10" x14ac:dyDescent="0.25">
      <c r="A79" s="2" t="s">
        <v>211</v>
      </c>
      <c r="B79" s="3" t="s">
        <v>212</v>
      </c>
      <c r="C79" s="3" t="s">
        <v>210</v>
      </c>
      <c r="D79" s="4" t="s">
        <v>7</v>
      </c>
      <c r="F79">
        <v>2281651150</v>
      </c>
      <c r="G79" s="1" t="s">
        <v>552</v>
      </c>
      <c r="H79" s="1" t="s">
        <v>1159</v>
      </c>
      <c r="I79" s="1" t="s">
        <v>1087</v>
      </c>
      <c r="J79">
        <v>2575</v>
      </c>
    </row>
    <row r="80" spans="1:10" x14ac:dyDescent="0.25">
      <c r="A80" s="5" t="s">
        <v>213</v>
      </c>
      <c r="B80" s="6" t="s">
        <v>214</v>
      </c>
      <c r="C80" s="6" t="s">
        <v>215</v>
      </c>
      <c r="D80" s="7" t="s">
        <v>7</v>
      </c>
      <c r="F80">
        <v>5266741491</v>
      </c>
      <c r="G80" s="1" t="s">
        <v>636</v>
      </c>
      <c r="H80" s="1" t="s">
        <v>1160</v>
      </c>
      <c r="I80" s="1" t="s">
        <v>1081</v>
      </c>
      <c r="J80">
        <v>2565</v>
      </c>
    </row>
    <row r="81" spans="1:10" x14ac:dyDescent="0.25">
      <c r="A81" s="2" t="s">
        <v>216</v>
      </c>
      <c r="B81" s="3" t="s">
        <v>217</v>
      </c>
      <c r="C81" s="3" t="s">
        <v>218</v>
      </c>
      <c r="D81" s="4" t="s">
        <v>7</v>
      </c>
      <c r="F81">
        <v>5341884086</v>
      </c>
      <c r="G81" s="1" t="s">
        <v>636</v>
      </c>
      <c r="H81" s="1" t="s">
        <v>1161</v>
      </c>
      <c r="I81" s="1" t="s">
        <v>1081</v>
      </c>
      <c r="J81">
        <v>1970</v>
      </c>
    </row>
    <row r="82" spans="1:10" x14ac:dyDescent="0.25">
      <c r="A82" s="5" t="s">
        <v>219</v>
      </c>
      <c r="B82" s="6" t="s">
        <v>220</v>
      </c>
      <c r="C82" s="6" t="s">
        <v>221</v>
      </c>
      <c r="D82" s="7" t="s">
        <v>7</v>
      </c>
      <c r="F82">
        <v>5459753232</v>
      </c>
      <c r="G82" s="1" t="s">
        <v>737</v>
      </c>
      <c r="H82" s="1" t="s">
        <v>1162</v>
      </c>
      <c r="I82" s="1" t="s">
        <v>1087</v>
      </c>
      <c r="J82">
        <v>1950</v>
      </c>
    </row>
    <row r="83" spans="1:10" x14ac:dyDescent="0.25">
      <c r="A83" s="2" t="s">
        <v>222</v>
      </c>
      <c r="B83" s="3" t="s">
        <v>223</v>
      </c>
      <c r="C83" s="3" t="s">
        <v>224</v>
      </c>
      <c r="D83" s="4" t="s">
        <v>7</v>
      </c>
      <c r="F83">
        <v>1617995032</v>
      </c>
      <c r="G83" s="1" t="s">
        <v>892</v>
      </c>
      <c r="H83" s="1" t="s">
        <v>1163</v>
      </c>
      <c r="I83" s="1" t="s">
        <v>1081</v>
      </c>
      <c r="J83">
        <v>2448</v>
      </c>
    </row>
    <row r="84" spans="1:10" x14ac:dyDescent="0.25">
      <c r="A84" s="5" t="s">
        <v>225</v>
      </c>
      <c r="B84" s="6" t="s">
        <v>226</v>
      </c>
      <c r="C84" s="6" t="s">
        <v>227</v>
      </c>
      <c r="D84" s="7" t="s">
        <v>7</v>
      </c>
      <c r="F84">
        <v>5185759244</v>
      </c>
      <c r="G84" s="1" t="s">
        <v>636</v>
      </c>
      <c r="H84" s="1" t="s">
        <v>1164</v>
      </c>
      <c r="I84" s="1" t="s">
        <v>1087</v>
      </c>
      <c r="J84">
        <v>2688</v>
      </c>
    </row>
    <row r="85" spans="1:10" x14ac:dyDescent="0.25">
      <c r="A85" s="2" t="s">
        <v>228</v>
      </c>
      <c r="B85" s="3" t="s">
        <v>229</v>
      </c>
      <c r="C85" s="3" t="s">
        <v>230</v>
      </c>
      <c r="D85" s="4" t="s">
        <v>7</v>
      </c>
      <c r="F85">
        <v>3568004264</v>
      </c>
      <c r="G85" s="1" t="s">
        <v>428</v>
      </c>
      <c r="H85" s="1" t="s">
        <v>1165</v>
      </c>
      <c r="I85" s="1" t="s">
        <v>1081</v>
      </c>
      <c r="J85">
        <v>2185</v>
      </c>
    </row>
    <row r="86" spans="1:10" x14ac:dyDescent="0.25">
      <c r="A86" s="5" t="s">
        <v>231</v>
      </c>
      <c r="B86" s="6" t="s">
        <v>232</v>
      </c>
      <c r="C86" s="6" t="s">
        <v>233</v>
      </c>
      <c r="D86" s="7" t="s">
        <v>7</v>
      </c>
      <c r="F86">
        <v>1620242236</v>
      </c>
      <c r="G86" s="1" t="s">
        <v>314</v>
      </c>
      <c r="H86" s="1" t="s">
        <v>1166</v>
      </c>
      <c r="I86" s="1" t="s">
        <v>1087</v>
      </c>
      <c r="J86">
        <v>3192</v>
      </c>
    </row>
    <row r="87" spans="1:10" x14ac:dyDescent="0.25">
      <c r="A87" s="2" t="s">
        <v>234</v>
      </c>
      <c r="B87" s="3" t="s">
        <v>235</v>
      </c>
      <c r="C87" s="3" t="s">
        <v>236</v>
      </c>
      <c r="D87" s="4" t="s">
        <v>7</v>
      </c>
      <c r="F87">
        <v>3470453173</v>
      </c>
      <c r="G87" s="1" t="s">
        <v>85</v>
      </c>
      <c r="H87" s="1" t="s">
        <v>1167</v>
      </c>
      <c r="I87" s="1" t="s">
        <v>1087</v>
      </c>
      <c r="J87">
        <v>2464</v>
      </c>
    </row>
    <row r="88" spans="1:10" x14ac:dyDescent="0.25">
      <c r="A88" s="5" t="s">
        <v>237</v>
      </c>
      <c r="B88" s="6" t="s">
        <v>238</v>
      </c>
      <c r="C88" s="6" t="s">
        <v>239</v>
      </c>
      <c r="D88" s="7" t="s">
        <v>7</v>
      </c>
      <c r="F88">
        <v>6727559092</v>
      </c>
      <c r="G88" s="1" t="s">
        <v>862</v>
      </c>
      <c r="H88" s="1" t="s">
        <v>1168</v>
      </c>
      <c r="I88" s="1" t="s">
        <v>1087</v>
      </c>
      <c r="J88">
        <v>2034</v>
      </c>
    </row>
    <row r="89" spans="1:10" x14ac:dyDescent="0.25">
      <c r="A89" s="2" t="s">
        <v>240</v>
      </c>
      <c r="B89" s="3" t="s">
        <v>241</v>
      </c>
      <c r="C89" s="3" t="s">
        <v>242</v>
      </c>
      <c r="D89" s="4" t="s">
        <v>7</v>
      </c>
      <c r="F89">
        <v>1127056356</v>
      </c>
      <c r="G89" s="1" t="s">
        <v>317</v>
      </c>
      <c r="H89" s="1" t="s">
        <v>1169</v>
      </c>
      <c r="I89" s="1" t="s">
        <v>1081</v>
      </c>
      <c r="J89">
        <v>2436</v>
      </c>
    </row>
    <row r="90" spans="1:10" x14ac:dyDescent="0.25">
      <c r="A90" s="5" t="s">
        <v>243</v>
      </c>
      <c r="B90" s="6" t="s">
        <v>244</v>
      </c>
      <c r="C90" s="6" t="s">
        <v>244</v>
      </c>
      <c r="D90" s="7" t="s">
        <v>22</v>
      </c>
      <c r="F90">
        <v>6727559092</v>
      </c>
      <c r="G90" s="1" t="s">
        <v>862</v>
      </c>
      <c r="H90" s="1" t="s">
        <v>1170</v>
      </c>
      <c r="I90" s="1" t="s">
        <v>1087</v>
      </c>
      <c r="J90">
        <v>2114</v>
      </c>
    </row>
    <row r="91" spans="1:10" x14ac:dyDescent="0.25">
      <c r="A91" s="2" t="s">
        <v>245</v>
      </c>
      <c r="B91" s="3" t="s">
        <v>246</v>
      </c>
      <c r="C91" s="3" t="s">
        <v>247</v>
      </c>
      <c r="D91" s="4" t="s">
        <v>7</v>
      </c>
      <c r="F91">
        <v>1939065269</v>
      </c>
      <c r="G91" s="1" t="s">
        <v>636</v>
      </c>
      <c r="H91" s="1" t="s">
        <v>1171</v>
      </c>
      <c r="I91" s="1" t="s">
        <v>1081</v>
      </c>
      <c r="J91">
        <v>2390</v>
      </c>
    </row>
    <row r="92" spans="1:10" x14ac:dyDescent="0.25">
      <c r="A92" s="5" t="s">
        <v>248</v>
      </c>
      <c r="B92" s="6" t="s">
        <v>249</v>
      </c>
      <c r="C92" s="6" t="s">
        <v>249</v>
      </c>
      <c r="D92" s="7" t="s">
        <v>22</v>
      </c>
      <c r="F92">
        <v>1820566794</v>
      </c>
      <c r="G92" s="1" t="s">
        <v>604</v>
      </c>
      <c r="H92" s="1" t="s">
        <v>1172</v>
      </c>
      <c r="I92" s="1" t="s">
        <v>1081</v>
      </c>
      <c r="J92">
        <v>1932</v>
      </c>
    </row>
    <row r="93" spans="1:10" x14ac:dyDescent="0.25">
      <c r="A93" s="2" t="s">
        <v>250</v>
      </c>
      <c r="B93" s="3" t="s">
        <v>251</v>
      </c>
      <c r="C93" s="3" t="s">
        <v>252</v>
      </c>
      <c r="D93" s="4" t="s">
        <v>7</v>
      </c>
      <c r="F93">
        <v>4241680809</v>
      </c>
      <c r="G93" s="1" t="s">
        <v>636</v>
      </c>
      <c r="H93" s="1" t="s">
        <v>1173</v>
      </c>
      <c r="I93" s="1" t="s">
        <v>1081</v>
      </c>
      <c r="J93">
        <v>2720</v>
      </c>
    </row>
    <row r="94" spans="1:10" x14ac:dyDescent="0.25">
      <c r="A94" s="5" t="s">
        <v>253</v>
      </c>
      <c r="B94" s="6" t="s">
        <v>254</v>
      </c>
      <c r="C94" s="6" t="s">
        <v>254</v>
      </c>
      <c r="D94" s="7" t="s">
        <v>22</v>
      </c>
      <c r="F94">
        <v>4458233905</v>
      </c>
      <c r="G94" s="1" t="s">
        <v>1003</v>
      </c>
      <c r="H94" s="1" t="s">
        <v>1174</v>
      </c>
      <c r="I94" s="1" t="s">
        <v>1081</v>
      </c>
      <c r="J94">
        <v>2478</v>
      </c>
    </row>
    <row r="95" spans="1:10" x14ac:dyDescent="0.25">
      <c r="A95" s="2" t="s">
        <v>255</v>
      </c>
      <c r="B95" s="3" t="s">
        <v>256</v>
      </c>
      <c r="C95" s="3" t="s">
        <v>254</v>
      </c>
      <c r="D95" s="4" t="s">
        <v>7</v>
      </c>
      <c r="F95">
        <v>1433397952</v>
      </c>
      <c r="G95" s="1" t="s">
        <v>314</v>
      </c>
      <c r="H95" s="1" t="s">
        <v>1175</v>
      </c>
      <c r="I95" s="1" t="s">
        <v>1087</v>
      </c>
      <c r="J95">
        <v>2434</v>
      </c>
    </row>
    <row r="96" spans="1:10" x14ac:dyDescent="0.25">
      <c r="A96" s="5" t="s">
        <v>257</v>
      </c>
      <c r="B96" s="6" t="s">
        <v>258</v>
      </c>
      <c r="C96" s="6" t="s">
        <v>259</v>
      </c>
      <c r="D96" s="7" t="s">
        <v>7</v>
      </c>
      <c r="F96">
        <v>4779174699</v>
      </c>
      <c r="G96" s="1" t="s">
        <v>1003</v>
      </c>
      <c r="H96" s="1" t="s">
        <v>1176</v>
      </c>
      <c r="I96" s="1" t="s">
        <v>1081</v>
      </c>
      <c r="J96">
        <v>2992</v>
      </c>
    </row>
    <row r="97" spans="1:10" x14ac:dyDescent="0.25">
      <c r="A97" s="2" t="s">
        <v>260</v>
      </c>
      <c r="B97" s="3" t="s">
        <v>259</v>
      </c>
      <c r="C97" s="3" t="s">
        <v>259</v>
      </c>
      <c r="D97" s="4" t="s">
        <v>22</v>
      </c>
      <c r="F97">
        <v>5459753232</v>
      </c>
      <c r="G97" s="1" t="s">
        <v>737</v>
      </c>
      <c r="H97" s="1" t="s">
        <v>1177</v>
      </c>
      <c r="I97" s="1" t="s">
        <v>1087</v>
      </c>
      <c r="J97">
        <v>1860</v>
      </c>
    </row>
    <row r="98" spans="1:10" x14ac:dyDescent="0.25">
      <c r="A98" s="5" t="s">
        <v>261</v>
      </c>
      <c r="B98" s="6" t="s">
        <v>262</v>
      </c>
      <c r="C98" s="6" t="s">
        <v>263</v>
      </c>
      <c r="D98" s="7" t="s">
        <v>7</v>
      </c>
      <c r="F98">
        <v>3318203338</v>
      </c>
      <c r="G98" s="1" t="s">
        <v>636</v>
      </c>
      <c r="H98" s="1" t="s">
        <v>1178</v>
      </c>
      <c r="I98" s="1" t="s">
        <v>1081</v>
      </c>
      <c r="J98">
        <v>2427</v>
      </c>
    </row>
    <row r="99" spans="1:10" x14ac:dyDescent="0.25">
      <c r="A99" s="2" t="s">
        <v>264</v>
      </c>
      <c r="B99" s="3" t="s">
        <v>265</v>
      </c>
      <c r="C99" s="3" t="s">
        <v>266</v>
      </c>
      <c r="D99" s="4" t="s">
        <v>7</v>
      </c>
      <c r="F99">
        <v>5514533376</v>
      </c>
      <c r="G99" s="1" t="s">
        <v>40</v>
      </c>
      <c r="H99" s="1" t="s">
        <v>1179</v>
      </c>
      <c r="I99" s="1" t="s">
        <v>1087</v>
      </c>
      <c r="J99">
        <v>2926</v>
      </c>
    </row>
    <row r="100" spans="1:10" x14ac:dyDescent="0.25">
      <c r="A100" s="5" t="s">
        <v>267</v>
      </c>
      <c r="B100" s="6" t="s">
        <v>268</v>
      </c>
      <c r="C100" s="6" t="s">
        <v>269</v>
      </c>
      <c r="D100" s="7" t="s">
        <v>7</v>
      </c>
      <c r="F100">
        <v>5418968184</v>
      </c>
      <c r="G100" s="1" t="s">
        <v>636</v>
      </c>
      <c r="H100" s="1" t="s">
        <v>1180</v>
      </c>
      <c r="I100" s="1" t="s">
        <v>1087</v>
      </c>
      <c r="J100">
        <v>1902</v>
      </c>
    </row>
    <row r="101" spans="1:10" x14ac:dyDescent="0.25">
      <c r="A101" s="2" t="s">
        <v>270</v>
      </c>
      <c r="B101" s="3" t="s">
        <v>271</v>
      </c>
      <c r="C101" s="3" t="s">
        <v>271</v>
      </c>
      <c r="D101" s="4" t="s">
        <v>22</v>
      </c>
      <c r="F101">
        <v>4956781088</v>
      </c>
      <c r="G101" s="1" t="s">
        <v>184</v>
      </c>
      <c r="H101" s="1" t="s">
        <v>1181</v>
      </c>
      <c r="I101" s="1" t="s">
        <v>1081</v>
      </c>
      <c r="J101">
        <v>1929</v>
      </c>
    </row>
    <row r="102" spans="1:10" x14ac:dyDescent="0.25">
      <c r="A102" s="5" t="s">
        <v>272</v>
      </c>
      <c r="B102" s="6" t="s">
        <v>273</v>
      </c>
      <c r="C102" s="6" t="s">
        <v>274</v>
      </c>
      <c r="D102" s="7" t="s">
        <v>7</v>
      </c>
      <c r="F102">
        <v>4241680809</v>
      </c>
      <c r="G102" s="1" t="s">
        <v>636</v>
      </c>
      <c r="H102" s="1" t="s">
        <v>1182</v>
      </c>
      <c r="I102" s="1" t="s">
        <v>1081</v>
      </c>
      <c r="J102">
        <v>3056</v>
      </c>
    </row>
    <row r="103" spans="1:10" x14ac:dyDescent="0.25">
      <c r="A103" s="2" t="s">
        <v>275</v>
      </c>
      <c r="B103" s="3" t="s">
        <v>276</v>
      </c>
      <c r="C103" s="3" t="s">
        <v>277</v>
      </c>
      <c r="D103" s="4" t="s">
        <v>7</v>
      </c>
      <c r="F103">
        <v>2599394621</v>
      </c>
      <c r="G103" s="1" t="s">
        <v>636</v>
      </c>
      <c r="H103" s="1" t="s">
        <v>1183</v>
      </c>
      <c r="I103" s="1" t="s">
        <v>1087</v>
      </c>
      <c r="J103">
        <v>2818</v>
      </c>
    </row>
    <row r="104" spans="1:10" x14ac:dyDescent="0.25">
      <c r="A104" s="5" t="s">
        <v>278</v>
      </c>
      <c r="B104" s="6" t="s">
        <v>279</v>
      </c>
      <c r="C104" s="6" t="s">
        <v>280</v>
      </c>
      <c r="D104" s="7" t="s">
        <v>7</v>
      </c>
      <c r="F104">
        <v>5115061689</v>
      </c>
      <c r="G104" s="1" t="s">
        <v>702</v>
      </c>
      <c r="H104" s="1" t="s">
        <v>1184</v>
      </c>
      <c r="I104" s="1" t="s">
        <v>1081</v>
      </c>
      <c r="J104">
        <v>3144</v>
      </c>
    </row>
    <row r="105" spans="1:10" x14ac:dyDescent="0.25">
      <c r="A105" s="2" t="s">
        <v>281</v>
      </c>
      <c r="B105" s="3" t="s">
        <v>282</v>
      </c>
      <c r="C105" s="3" t="s">
        <v>283</v>
      </c>
      <c r="D105" s="4" t="s">
        <v>7</v>
      </c>
      <c r="F105">
        <v>3568004264</v>
      </c>
      <c r="G105" s="1" t="s">
        <v>428</v>
      </c>
      <c r="H105" s="1" t="s">
        <v>1185</v>
      </c>
      <c r="I105" s="1" t="s">
        <v>1087</v>
      </c>
      <c r="J105">
        <v>3060</v>
      </c>
    </row>
    <row r="106" spans="1:10" x14ac:dyDescent="0.25">
      <c r="A106" s="5" t="s">
        <v>284</v>
      </c>
      <c r="B106" s="6" t="s">
        <v>285</v>
      </c>
      <c r="C106" s="6" t="s">
        <v>285</v>
      </c>
      <c r="D106" s="7" t="s">
        <v>22</v>
      </c>
      <c r="F106">
        <v>3470453173</v>
      </c>
      <c r="G106" s="1" t="s">
        <v>85</v>
      </c>
      <c r="H106" s="1" t="s">
        <v>1186</v>
      </c>
      <c r="I106" s="1" t="s">
        <v>1081</v>
      </c>
      <c r="J106">
        <v>1866</v>
      </c>
    </row>
    <row r="107" spans="1:10" x14ac:dyDescent="0.25">
      <c r="A107" s="2" t="s">
        <v>286</v>
      </c>
      <c r="B107" s="3" t="s">
        <v>287</v>
      </c>
      <c r="C107" s="3" t="s">
        <v>285</v>
      </c>
      <c r="D107" s="4" t="s">
        <v>7</v>
      </c>
      <c r="F107">
        <v>2119268767</v>
      </c>
      <c r="G107" s="1" t="s">
        <v>141</v>
      </c>
      <c r="H107" s="1" t="s">
        <v>1187</v>
      </c>
      <c r="I107" s="1" t="s">
        <v>1087</v>
      </c>
      <c r="J107">
        <v>2928</v>
      </c>
    </row>
    <row r="108" spans="1:10" x14ac:dyDescent="0.25">
      <c r="A108" s="5" t="s">
        <v>288</v>
      </c>
      <c r="B108" s="6" t="s">
        <v>289</v>
      </c>
      <c r="C108" s="6" t="s">
        <v>290</v>
      </c>
      <c r="D108" s="7" t="s">
        <v>7</v>
      </c>
      <c r="F108">
        <v>1246489959</v>
      </c>
      <c r="G108" s="1" t="s">
        <v>636</v>
      </c>
      <c r="H108" s="1" t="s">
        <v>1188</v>
      </c>
      <c r="I108" s="1" t="s">
        <v>1087</v>
      </c>
      <c r="J108">
        <v>2590</v>
      </c>
    </row>
    <row r="109" spans="1:10" x14ac:dyDescent="0.25">
      <c r="A109" s="2" t="s">
        <v>291</v>
      </c>
      <c r="B109" s="3" t="s">
        <v>292</v>
      </c>
      <c r="C109" s="3" t="s">
        <v>293</v>
      </c>
      <c r="D109" s="4" t="s">
        <v>7</v>
      </c>
      <c r="F109">
        <v>4779174699</v>
      </c>
      <c r="G109" s="1" t="s">
        <v>1003</v>
      </c>
      <c r="H109" s="1" t="s">
        <v>1189</v>
      </c>
      <c r="I109" s="1" t="s">
        <v>1081</v>
      </c>
      <c r="J109">
        <v>2445</v>
      </c>
    </row>
    <row r="110" spans="1:10" x14ac:dyDescent="0.25">
      <c r="A110" s="5" t="s">
        <v>294</v>
      </c>
      <c r="B110" s="6" t="s">
        <v>295</v>
      </c>
      <c r="C110" s="6" t="s">
        <v>296</v>
      </c>
      <c r="D110" s="7" t="s">
        <v>7</v>
      </c>
      <c r="F110">
        <v>4715154852</v>
      </c>
      <c r="G110" s="1" t="s">
        <v>1003</v>
      </c>
      <c r="H110" s="1" t="s">
        <v>1190</v>
      </c>
      <c r="I110" s="1" t="s">
        <v>1081</v>
      </c>
      <c r="J110">
        <v>2780</v>
      </c>
    </row>
    <row r="111" spans="1:10" x14ac:dyDescent="0.25">
      <c r="A111" s="2" t="s">
        <v>297</v>
      </c>
      <c r="B111" s="3" t="s">
        <v>298</v>
      </c>
      <c r="C111" s="3" t="s">
        <v>299</v>
      </c>
      <c r="D111" s="4" t="s">
        <v>7</v>
      </c>
      <c r="F111">
        <v>3568004264</v>
      </c>
      <c r="G111" s="1" t="s">
        <v>428</v>
      </c>
      <c r="H111" s="1" t="s">
        <v>1191</v>
      </c>
      <c r="I111" s="1" t="s">
        <v>1081</v>
      </c>
      <c r="J111">
        <v>2720</v>
      </c>
    </row>
    <row r="112" spans="1:10" x14ac:dyDescent="0.25">
      <c r="A112" s="5" t="s">
        <v>300</v>
      </c>
      <c r="B112" s="6" t="s">
        <v>301</v>
      </c>
      <c r="C112" s="6" t="s">
        <v>302</v>
      </c>
      <c r="D112" s="7" t="s">
        <v>7</v>
      </c>
      <c r="F112">
        <v>5514533376</v>
      </c>
      <c r="G112" s="1" t="s">
        <v>40</v>
      </c>
      <c r="H112" s="1" t="s">
        <v>1192</v>
      </c>
      <c r="I112" s="1" t="s">
        <v>1087</v>
      </c>
      <c r="J112">
        <v>2136</v>
      </c>
    </row>
    <row r="113" spans="1:10" x14ac:dyDescent="0.25">
      <c r="A113" s="2" t="s">
        <v>303</v>
      </c>
      <c r="B113" s="3" t="s">
        <v>304</v>
      </c>
      <c r="C113" s="3" t="s">
        <v>305</v>
      </c>
      <c r="D113" s="4" t="s">
        <v>7</v>
      </c>
      <c r="F113">
        <v>5528435390</v>
      </c>
      <c r="G113" s="1" t="s">
        <v>636</v>
      </c>
      <c r="H113" s="1" t="s">
        <v>1193</v>
      </c>
      <c r="I113" s="1" t="s">
        <v>1081</v>
      </c>
      <c r="J113">
        <v>2328</v>
      </c>
    </row>
    <row r="114" spans="1:10" x14ac:dyDescent="0.25">
      <c r="A114" s="5" t="s">
        <v>306</v>
      </c>
      <c r="B114" s="6" t="s">
        <v>307</v>
      </c>
      <c r="C114" s="6" t="s">
        <v>308</v>
      </c>
      <c r="D114" s="7" t="s">
        <v>7</v>
      </c>
      <c r="F114">
        <v>4779174699</v>
      </c>
      <c r="G114" s="1" t="s">
        <v>1003</v>
      </c>
      <c r="H114" s="1" t="s">
        <v>1194</v>
      </c>
      <c r="I114" s="1" t="s">
        <v>1081</v>
      </c>
      <c r="J114">
        <v>2920</v>
      </c>
    </row>
    <row r="115" spans="1:10" x14ac:dyDescent="0.25">
      <c r="A115" s="2" t="s">
        <v>309</v>
      </c>
      <c r="B115" s="3" t="s">
        <v>310</v>
      </c>
      <c r="C115" s="3" t="s">
        <v>311</v>
      </c>
      <c r="D115" s="4" t="s">
        <v>7</v>
      </c>
      <c r="F115">
        <v>4326751508</v>
      </c>
      <c r="G115" s="1" t="s">
        <v>405</v>
      </c>
      <c r="H115" s="1" t="s">
        <v>1195</v>
      </c>
      <c r="I115" s="1" t="s">
        <v>1087</v>
      </c>
      <c r="J115">
        <v>3324</v>
      </c>
    </row>
    <row r="116" spans="1:10" x14ac:dyDescent="0.25">
      <c r="A116" s="5" t="s">
        <v>312</v>
      </c>
      <c r="B116" s="6" t="s">
        <v>313</v>
      </c>
      <c r="C116" s="6" t="s">
        <v>313</v>
      </c>
      <c r="D116" s="7" t="s">
        <v>22</v>
      </c>
      <c r="F116">
        <v>1620242236</v>
      </c>
      <c r="G116" s="1" t="s">
        <v>314</v>
      </c>
      <c r="H116" s="1" t="s">
        <v>1196</v>
      </c>
      <c r="I116" s="1" t="s">
        <v>1081</v>
      </c>
      <c r="J116">
        <v>2915</v>
      </c>
    </row>
    <row r="117" spans="1:10" x14ac:dyDescent="0.25">
      <c r="A117" s="2" t="s">
        <v>314</v>
      </c>
      <c r="B117" s="3" t="s">
        <v>313</v>
      </c>
      <c r="C117" s="3" t="s">
        <v>313</v>
      </c>
      <c r="D117" s="4" t="s">
        <v>22</v>
      </c>
      <c r="F117">
        <v>6758177505</v>
      </c>
      <c r="G117" s="1" t="s">
        <v>862</v>
      </c>
      <c r="H117" s="1" t="s">
        <v>1197</v>
      </c>
      <c r="I117" s="1" t="s">
        <v>1087</v>
      </c>
      <c r="J117">
        <v>1930</v>
      </c>
    </row>
    <row r="118" spans="1:10" x14ac:dyDescent="0.25">
      <c r="A118" s="5" t="s">
        <v>315</v>
      </c>
      <c r="B118" s="6" t="s">
        <v>316</v>
      </c>
      <c r="C118" s="6" t="s">
        <v>313</v>
      </c>
      <c r="D118" s="7" t="s">
        <v>7</v>
      </c>
      <c r="F118">
        <v>6727559092</v>
      </c>
      <c r="G118" s="1" t="s">
        <v>862</v>
      </c>
      <c r="H118" s="1" t="s">
        <v>1198</v>
      </c>
      <c r="I118" s="1" t="s">
        <v>1087</v>
      </c>
      <c r="J118">
        <v>2361</v>
      </c>
    </row>
    <row r="119" spans="1:10" x14ac:dyDescent="0.25">
      <c r="A119" s="2" t="s">
        <v>317</v>
      </c>
      <c r="B119" s="3" t="s">
        <v>318</v>
      </c>
      <c r="C119" s="3" t="s">
        <v>319</v>
      </c>
      <c r="D119" s="4" t="s">
        <v>7</v>
      </c>
      <c r="F119">
        <v>4241680809</v>
      </c>
      <c r="G119" s="1" t="s">
        <v>636</v>
      </c>
      <c r="H119" s="1" t="s">
        <v>1199</v>
      </c>
      <c r="I119" s="1" t="s">
        <v>1087</v>
      </c>
      <c r="J119">
        <v>1863</v>
      </c>
    </row>
    <row r="120" spans="1:10" x14ac:dyDescent="0.25">
      <c r="A120" s="5" t="s">
        <v>320</v>
      </c>
      <c r="B120" s="6" t="s">
        <v>321</v>
      </c>
      <c r="C120" s="6" t="s">
        <v>322</v>
      </c>
      <c r="D120" s="7" t="s">
        <v>7</v>
      </c>
      <c r="F120">
        <v>4326751508</v>
      </c>
      <c r="G120" s="1" t="s">
        <v>40</v>
      </c>
      <c r="H120" s="1" t="s">
        <v>1200</v>
      </c>
      <c r="I120" s="1" t="s">
        <v>1081</v>
      </c>
      <c r="J120">
        <v>2420</v>
      </c>
    </row>
    <row r="121" spans="1:10" x14ac:dyDescent="0.25">
      <c r="A121" s="2" t="s">
        <v>323</v>
      </c>
      <c r="B121" s="3" t="s">
        <v>324</v>
      </c>
      <c r="C121" s="3" t="s">
        <v>324</v>
      </c>
      <c r="D121" s="4" t="s">
        <v>22</v>
      </c>
      <c r="F121">
        <v>3470453173</v>
      </c>
      <c r="G121" s="1" t="s">
        <v>85</v>
      </c>
      <c r="H121" s="1" t="s">
        <v>1201</v>
      </c>
      <c r="I121" s="1" t="s">
        <v>1087</v>
      </c>
      <c r="J121">
        <v>2625</v>
      </c>
    </row>
    <row r="122" spans="1:10" x14ac:dyDescent="0.25">
      <c r="A122" s="5" t="s">
        <v>325</v>
      </c>
      <c r="B122" s="6" t="s">
        <v>326</v>
      </c>
      <c r="C122" s="6" t="s">
        <v>324</v>
      </c>
      <c r="D122" s="7" t="s">
        <v>7</v>
      </c>
      <c r="F122">
        <v>3579231044</v>
      </c>
      <c r="G122" s="1" t="s">
        <v>370</v>
      </c>
      <c r="H122" s="1" t="s">
        <v>1202</v>
      </c>
      <c r="I122" s="1" t="s">
        <v>1087</v>
      </c>
      <c r="J122">
        <v>2314</v>
      </c>
    </row>
    <row r="123" spans="1:10" x14ac:dyDescent="0.25">
      <c r="A123" s="2" t="s">
        <v>327</v>
      </c>
      <c r="B123" s="3" t="s">
        <v>328</v>
      </c>
      <c r="C123" s="3" t="s">
        <v>329</v>
      </c>
      <c r="D123" s="4" t="s">
        <v>7</v>
      </c>
      <c r="F123">
        <v>2119268767</v>
      </c>
      <c r="G123" s="1" t="s">
        <v>141</v>
      </c>
      <c r="H123" s="1" t="s">
        <v>1203</v>
      </c>
      <c r="I123" s="1" t="s">
        <v>1087</v>
      </c>
      <c r="J123">
        <v>2340</v>
      </c>
    </row>
    <row r="124" spans="1:10" x14ac:dyDescent="0.25">
      <c r="A124" s="5" t="s">
        <v>330</v>
      </c>
      <c r="B124" s="6" t="s">
        <v>331</v>
      </c>
      <c r="C124" s="6" t="s">
        <v>331</v>
      </c>
      <c r="D124" s="7" t="s">
        <v>22</v>
      </c>
      <c r="F124">
        <v>1620242236</v>
      </c>
      <c r="G124" s="1" t="s">
        <v>314</v>
      </c>
      <c r="H124" s="1" t="s">
        <v>1204</v>
      </c>
      <c r="I124" s="1" t="s">
        <v>1081</v>
      </c>
      <c r="J124">
        <v>2181</v>
      </c>
    </row>
    <row r="125" spans="1:10" x14ac:dyDescent="0.25">
      <c r="A125" s="2" t="s">
        <v>332</v>
      </c>
      <c r="B125" s="3" t="s">
        <v>333</v>
      </c>
      <c r="C125" s="3" t="s">
        <v>331</v>
      </c>
      <c r="D125" s="4" t="s">
        <v>7</v>
      </c>
      <c r="F125">
        <v>4326751508</v>
      </c>
      <c r="G125" s="1" t="s">
        <v>40</v>
      </c>
      <c r="H125" s="1" t="s">
        <v>1205</v>
      </c>
      <c r="I125" s="1" t="s">
        <v>1081</v>
      </c>
      <c r="J125">
        <v>2800</v>
      </c>
    </row>
    <row r="126" spans="1:10" x14ac:dyDescent="0.25">
      <c r="A126" s="5" t="s">
        <v>334</v>
      </c>
      <c r="B126" s="6" t="s">
        <v>335</v>
      </c>
      <c r="C126" s="6" t="s">
        <v>336</v>
      </c>
      <c r="D126" s="7" t="s">
        <v>7</v>
      </c>
      <c r="F126">
        <v>1278408463</v>
      </c>
      <c r="G126" s="1" t="s">
        <v>312</v>
      </c>
      <c r="H126" s="1" t="s">
        <v>1206</v>
      </c>
      <c r="I126" s="1" t="s">
        <v>1087</v>
      </c>
      <c r="J126">
        <v>2589</v>
      </c>
    </row>
    <row r="127" spans="1:10" x14ac:dyDescent="0.25">
      <c r="A127" s="2" t="s">
        <v>337</v>
      </c>
      <c r="B127" s="3" t="s">
        <v>338</v>
      </c>
      <c r="C127" s="3" t="s">
        <v>339</v>
      </c>
      <c r="D127" s="4" t="s">
        <v>7</v>
      </c>
      <c r="F127">
        <v>1939065269</v>
      </c>
      <c r="G127" s="1" t="s">
        <v>636</v>
      </c>
      <c r="H127" s="1" t="s">
        <v>1207</v>
      </c>
      <c r="I127" s="1" t="s">
        <v>1081</v>
      </c>
      <c r="J127">
        <v>2360</v>
      </c>
    </row>
    <row r="128" spans="1:10" x14ac:dyDescent="0.25">
      <c r="A128" s="5" t="s">
        <v>340</v>
      </c>
      <c r="B128" s="6" t="s">
        <v>341</v>
      </c>
      <c r="C128" s="6" t="s">
        <v>342</v>
      </c>
      <c r="D128" s="7" t="s">
        <v>7</v>
      </c>
      <c r="F128">
        <v>3783578981</v>
      </c>
      <c r="G128" s="1" t="s">
        <v>405</v>
      </c>
      <c r="H128" s="1" t="s">
        <v>1208</v>
      </c>
      <c r="I128" s="1" t="s">
        <v>1087</v>
      </c>
      <c r="J128">
        <v>2185</v>
      </c>
    </row>
    <row r="129" spans="1:10" x14ac:dyDescent="0.25">
      <c r="A129" s="2" t="s">
        <v>343</v>
      </c>
      <c r="B129" s="3" t="s">
        <v>344</v>
      </c>
      <c r="C129" s="3" t="s">
        <v>345</v>
      </c>
      <c r="D129" s="4" t="s">
        <v>7</v>
      </c>
      <c r="F129">
        <v>4241680809</v>
      </c>
      <c r="G129" s="1" t="s">
        <v>636</v>
      </c>
      <c r="H129" s="1" t="s">
        <v>1209</v>
      </c>
      <c r="I129" s="1" t="s">
        <v>1081</v>
      </c>
      <c r="J129">
        <v>2319</v>
      </c>
    </row>
    <row r="130" spans="1:10" x14ac:dyDescent="0.25">
      <c r="A130" s="5" t="s">
        <v>346</v>
      </c>
      <c r="B130" s="6" t="s">
        <v>344</v>
      </c>
      <c r="C130" s="6" t="s">
        <v>347</v>
      </c>
      <c r="D130" s="7" t="s">
        <v>7</v>
      </c>
      <c r="F130">
        <v>4761158900</v>
      </c>
      <c r="G130" s="1" t="s">
        <v>294</v>
      </c>
      <c r="H130" s="1" t="s">
        <v>1210</v>
      </c>
      <c r="I130" s="1" t="s">
        <v>1081</v>
      </c>
      <c r="J130">
        <v>2208</v>
      </c>
    </row>
    <row r="131" spans="1:10" x14ac:dyDescent="0.25">
      <c r="A131" s="2" t="s">
        <v>348</v>
      </c>
      <c r="B131" s="3" t="s">
        <v>345</v>
      </c>
      <c r="C131" s="3" t="s">
        <v>345</v>
      </c>
      <c r="D131" s="4" t="s">
        <v>22</v>
      </c>
      <c r="F131">
        <v>3866883575</v>
      </c>
      <c r="G131" s="1" t="s">
        <v>434</v>
      </c>
      <c r="H131" s="1" t="s">
        <v>1211</v>
      </c>
      <c r="I131" s="1" t="s">
        <v>1087</v>
      </c>
      <c r="J131">
        <v>1520</v>
      </c>
    </row>
    <row r="132" spans="1:10" x14ac:dyDescent="0.25">
      <c r="A132" s="5" t="s">
        <v>349</v>
      </c>
      <c r="B132" s="6" t="s">
        <v>350</v>
      </c>
      <c r="C132" s="6" t="s">
        <v>351</v>
      </c>
      <c r="D132" s="7" t="s">
        <v>7</v>
      </c>
      <c r="F132">
        <v>1127056356</v>
      </c>
      <c r="G132" s="1" t="s">
        <v>317</v>
      </c>
      <c r="H132" s="1" t="s">
        <v>1212</v>
      </c>
      <c r="I132" s="1" t="s">
        <v>1081</v>
      </c>
      <c r="J132">
        <v>2050</v>
      </c>
    </row>
    <row r="133" spans="1:10" x14ac:dyDescent="0.25">
      <c r="A133" s="2" t="s">
        <v>352</v>
      </c>
      <c r="B133" s="3" t="s">
        <v>353</v>
      </c>
      <c r="C133" s="3" t="s">
        <v>354</v>
      </c>
      <c r="D133" s="4" t="s">
        <v>7</v>
      </c>
      <c r="F133">
        <v>1620242236</v>
      </c>
      <c r="G133" s="1" t="s">
        <v>314</v>
      </c>
      <c r="H133" s="1" t="s">
        <v>1213</v>
      </c>
      <c r="I133" s="1" t="s">
        <v>1087</v>
      </c>
      <c r="J133">
        <v>2336</v>
      </c>
    </row>
    <row r="134" spans="1:10" x14ac:dyDescent="0.25">
      <c r="A134" s="5" t="s">
        <v>355</v>
      </c>
      <c r="B134" s="6" t="s">
        <v>356</v>
      </c>
      <c r="C134" s="6" t="s">
        <v>357</v>
      </c>
      <c r="D134" s="7" t="s">
        <v>7</v>
      </c>
      <c r="F134">
        <v>6727559092</v>
      </c>
      <c r="G134" s="1" t="s">
        <v>862</v>
      </c>
      <c r="H134" s="1" t="s">
        <v>1214</v>
      </c>
      <c r="I134" s="1" t="s">
        <v>1087</v>
      </c>
      <c r="J134">
        <v>2034</v>
      </c>
    </row>
    <row r="135" spans="1:10" x14ac:dyDescent="0.25">
      <c r="A135" s="2" t="s">
        <v>358</v>
      </c>
      <c r="B135" s="3" t="s">
        <v>359</v>
      </c>
      <c r="C135" s="3" t="s">
        <v>360</v>
      </c>
      <c r="D135" s="4" t="s">
        <v>7</v>
      </c>
      <c r="F135">
        <v>3318203338</v>
      </c>
      <c r="G135" s="1" t="s">
        <v>636</v>
      </c>
      <c r="H135" s="1" t="s">
        <v>1215</v>
      </c>
      <c r="I135" s="1" t="s">
        <v>1087</v>
      </c>
      <c r="J135">
        <v>1900</v>
      </c>
    </row>
    <row r="136" spans="1:10" x14ac:dyDescent="0.25">
      <c r="A136" s="5" t="s">
        <v>361</v>
      </c>
      <c r="B136" s="6" t="s">
        <v>362</v>
      </c>
      <c r="C136" s="6" t="s">
        <v>363</v>
      </c>
      <c r="D136" s="7" t="s">
        <v>7</v>
      </c>
      <c r="F136">
        <v>5185759244</v>
      </c>
      <c r="G136" s="1" t="s">
        <v>636</v>
      </c>
      <c r="H136" s="1" t="s">
        <v>1216</v>
      </c>
      <c r="I136" s="1" t="s">
        <v>1081</v>
      </c>
      <c r="J136">
        <v>2277</v>
      </c>
    </row>
    <row r="137" spans="1:10" x14ac:dyDescent="0.25">
      <c r="A137" s="2" t="s">
        <v>364</v>
      </c>
      <c r="B137" s="3" t="s">
        <v>365</v>
      </c>
      <c r="C137" s="3" t="s">
        <v>366</v>
      </c>
      <c r="D137" s="4" t="s">
        <v>7</v>
      </c>
      <c r="F137">
        <v>3866883575</v>
      </c>
      <c r="G137" s="1" t="s">
        <v>434</v>
      </c>
      <c r="H137" s="1" t="s">
        <v>1217</v>
      </c>
      <c r="I137" s="1" t="s">
        <v>1087</v>
      </c>
      <c r="J137">
        <v>2994</v>
      </c>
    </row>
    <row r="138" spans="1:10" x14ac:dyDescent="0.25">
      <c r="A138" s="5" t="s">
        <v>367</v>
      </c>
      <c r="B138" s="6" t="s">
        <v>368</v>
      </c>
      <c r="C138" s="6" t="s">
        <v>369</v>
      </c>
      <c r="D138" s="7" t="s">
        <v>7</v>
      </c>
      <c r="F138">
        <v>6727559092</v>
      </c>
      <c r="G138" s="1" t="s">
        <v>862</v>
      </c>
      <c r="H138" s="1" t="s">
        <v>1218</v>
      </c>
      <c r="I138" s="1" t="s">
        <v>1087</v>
      </c>
      <c r="J138">
        <v>2315</v>
      </c>
    </row>
    <row r="139" spans="1:10" x14ac:dyDescent="0.25">
      <c r="A139" s="2" t="s">
        <v>370</v>
      </c>
      <c r="B139" s="3" t="s">
        <v>371</v>
      </c>
      <c r="C139" s="3" t="s">
        <v>372</v>
      </c>
      <c r="D139" s="4" t="s">
        <v>7</v>
      </c>
      <c r="F139">
        <v>1165493421</v>
      </c>
      <c r="G139" s="1" t="s">
        <v>636</v>
      </c>
      <c r="H139" s="1" t="s">
        <v>1219</v>
      </c>
      <c r="I139" s="1" t="s">
        <v>1087</v>
      </c>
      <c r="J139">
        <v>2560</v>
      </c>
    </row>
    <row r="140" spans="1:10" x14ac:dyDescent="0.25">
      <c r="A140" s="5" t="s">
        <v>373</v>
      </c>
      <c r="B140" s="6" t="s">
        <v>374</v>
      </c>
      <c r="C140" s="6" t="s">
        <v>375</v>
      </c>
      <c r="D140" s="7" t="s">
        <v>7</v>
      </c>
      <c r="F140">
        <v>4796841112</v>
      </c>
      <c r="G140" s="1" t="s">
        <v>533</v>
      </c>
      <c r="H140" s="1" t="s">
        <v>1220</v>
      </c>
      <c r="I140" s="1" t="s">
        <v>1087</v>
      </c>
      <c r="J140">
        <v>2391</v>
      </c>
    </row>
    <row r="141" spans="1:10" x14ac:dyDescent="0.25">
      <c r="A141" s="2" t="s">
        <v>376</v>
      </c>
      <c r="B141" s="3" t="s">
        <v>377</v>
      </c>
      <c r="C141" s="3" t="s">
        <v>377</v>
      </c>
      <c r="D141" s="4" t="s">
        <v>22</v>
      </c>
      <c r="F141">
        <v>5115061689</v>
      </c>
      <c r="G141" s="1" t="s">
        <v>702</v>
      </c>
      <c r="H141" s="1" t="s">
        <v>1221</v>
      </c>
      <c r="I141" s="1" t="s">
        <v>1087</v>
      </c>
      <c r="J141">
        <v>2085</v>
      </c>
    </row>
    <row r="142" spans="1:10" x14ac:dyDescent="0.25">
      <c r="A142" s="5" t="s">
        <v>378</v>
      </c>
      <c r="B142" s="6" t="s">
        <v>379</v>
      </c>
      <c r="C142" s="6" t="s">
        <v>377</v>
      </c>
      <c r="D142" s="7" t="s">
        <v>7</v>
      </c>
      <c r="F142">
        <v>1599095267</v>
      </c>
      <c r="G142" s="1" t="s">
        <v>636</v>
      </c>
      <c r="H142" s="1" t="s">
        <v>1222</v>
      </c>
      <c r="I142" s="1" t="s">
        <v>1087</v>
      </c>
      <c r="J142">
        <v>2105</v>
      </c>
    </row>
    <row r="143" spans="1:10" x14ac:dyDescent="0.25">
      <c r="A143" s="2" t="s">
        <v>380</v>
      </c>
      <c r="B143" s="3" t="s">
        <v>381</v>
      </c>
      <c r="C143" s="3" t="s">
        <v>382</v>
      </c>
      <c r="D143" s="4" t="s">
        <v>7</v>
      </c>
      <c r="F143">
        <v>3866883575</v>
      </c>
      <c r="G143" s="1" t="s">
        <v>434</v>
      </c>
      <c r="H143" s="1" t="s">
        <v>1223</v>
      </c>
      <c r="I143" s="1" t="s">
        <v>1087</v>
      </c>
      <c r="J143">
        <v>1928</v>
      </c>
    </row>
    <row r="144" spans="1:10" x14ac:dyDescent="0.25">
      <c r="A144" s="5" t="s">
        <v>383</v>
      </c>
      <c r="B144" s="6" t="s">
        <v>384</v>
      </c>
      <c r="C144" s="6" t="s">
        <v>385</v>
      </c>
      <c r="D144" s="7" t="s">
        <v>7</v>
      </c>
      <c r="F144">
        <v>4779174699</v>
      </c>
      <c r="G144" s="1" t="s">
        <v>1003</v>
      </c>
      <c r="H144" s="1" t="s">
        <v>1224</v>
      </c>
      <c r="I144" s="1" t="s">
        <v>1081</v>
      </c>
      <c r="J144">
        <v>1852</v>
      </c>
    </row>
    <row r="145" spans="1:10" x14ac:dyDescent="0.25">
      <c r="A145" s="2" t="s">
        <v>386</v>
      </c>
      <c r="B145" s="3" t="s">
        <v>385</v>
      </c>
      <c r="C145" s="3" t="s">
        <v>385</v>
      </c>
      <c r="D145" s="4" t="s">
        <v>22</v>
      </c>
      <c r="F145">
        <v>3866883575</v>
      </c>
      <c r="G145" s="1" t="s">
        <v>434</v>
      </c>
      <c r="H145" s="1" t="s">
        <v>1225</v>
      </c>
      <c r="I145" s="1" t="s">
        <v>1087</v>
      </c>
      <c r="J145">
        <v>2784</v>
      </c>
    </row>
    <row r="146" spans="1:10" x14ac:dyDescent="0.25">
      <c r="A146" s="5" t="s">
        <v>387</v>
      </c>
      <c r="B146" s="6" t="s">
        <v>388</v>
      </c>
      <c r="C146" s="6" t="s">
        <v>389</v>
      </c>
      <c r="D146" s="7" t="s">
        <v>7</v>
      </c>
      <c r="F146">
        <v>4779174699</v>
      </c>
      <c r="G146" s="1" t="s">
        <v>1003</v>
      </c>
      <c r="H146" s="1" t="s">
        <v>1226</v>
      </c>
      <c r="I146" s="1" t="s">
        <v>1087</v>
      </c>
      <c r="J146">
        <v>2348</v>
      </c>
    </row>
    <row r="147" spans="1:10" x14ac:dyDescent="0.25">
      <c r="A147" s="2" t="s">
        <v>390</v>
      </c>
      <c r="B147" s="3" t="s">
        <v>391</v>
      </c>
      <c r="C147" s="3" t="s">
        <v>392</v>
      </c>
      <c r="D147" s="4" t="s">
        <v>7</v>
      </c>
      <c r="F147">
        <v>3318203338</v>
      </c>
      <c r="G147" s="1" t="s">
        <v>248</v>
      </c>
      <c r="H147" s="1" t="s">
        <v>1227</v>
      </c>
      <c r="I147" s="1" t="s">
        <v>1087</v>
      </c>
      <c r="J147">
        <v>2305</v>
      </c>
    </row>
    <row r="148" spans="1:10" x14ac:dyDescent="0.25">
      <c r="A148" s="5" t="s">
        <v>393</v>
      </c>
      <c r="B148" s="6" t="s">
        <v>394</v>
      </c>
      <c r="C148" s="6" t="s">
        <v>395</v>
      </c>
      <c r="D148" s="7" t="s">
        <v>7</v>
      </c>
      <c r="F148">
        <v>1433397952</v>
      </c>
      <c r="G148" s="1" t="s">
        <v>314</v>
      </c>
      <c r="H148" s="1" t="s">
        <v>1228</v>
      </c>
      <c r="I148" s="1" t="s">
        <v>1081</v>
      </c>
      <c r="J148">
        <v>2282</v>
      </c>
    </row>
    <row r="149" spans="1:10" x14ac:dyDescent="0.25">
      <c r="A149" s="2" t="s">
        <v>396</v>
      </c>
      <c r="B149" s="3" t="s">
        <v>397</v>
      </c>
      <c r="C149" s="3" t="s">
        <v>398</v>
      </c>
      <c r="D149" s="4" t="s">
        <v>7</v>
      </c>
      <c r="F149">
        <v>4326751508</v>
      </c>
      <c r="G149" s="1" t="s">
        <v>405</v>
      </c>
      <c r="H149" s="1" t="s">
        <v>1229</v>
      </c>
      <c r="I149" s="1" t="s">
        <v>1081</v>
      </c>
      <c r="J149">
        <v>2408</v>
      </c>
    </row>
    <row r="150" spans="1:10" x14ac:dyDescent="0.25">
      <c r="A150" s="5" t="s">
        <v>399</v>
      </c>
      <c r="B150" s="6" t="s">
        <v>400</v>
      </c>
      <c r="C150" s="6" t="s">
        <v>401</v>
      </c>
      <c r="D150" s="7" t="s">
        <v>7</v>
      </c>
      <c r="F150">
        <v>3470453173</v>
      </c>
      <c r="G150" s="1" t="s">
        <v>85</v>
      </c>
      <c r="H150" s="1" t="s">
        <v>1230</v>
      </c>
      <c r="I150" s="1" t="s">
        <v>1087</v>
      </c>
      <c r="J150">
        <v>1835</v>
      </c>
    </row>
    <row r="151" spans="1:10" x14ac:dyDescent="0.25">
      <c r="A151" s="2" t="s">
        <v>402</v>
      </c>
      <c r="B151" s="3" t="s">
        <v>403</v>
      </c>
      <c r="C151" s="3" t="s">
        <v>404</v>
      </c>
      <c r="D151" s="4" t="s">
        <v>7</v>
      </c>
      <c r="F151">
        <v>3783578981</v>
      </c>
      <c r="G151" s="1" t="s">
        <v>405</v>
      </c>
      <c r="H151" s="1" t="s">
        <v>1231</v>
      </c>
      <c r="I151" s="1" t="s">
        <v>1081</v>
      </c>
      <c r="J151">
        <v>1869</v>
      </c>
    </row>
    <row r="152" spans="1:10" x14ac:dyDescent="0.25">
      <c r="A152" s="5" t="s">
        <v>405</v>
      </c>
      <c r="B152" s="6" t="s">
        <v>406</v>
      </c>
      <c r="C152" s="6" t="s">
        <v>406</v>
      </c>
      <c r="D152" s="7" t="s">
        <v>22</v>
      </c>
      <c r="F152">
        <v>3568004264</v>
      </c>
      <c r="G152" s="1" t="s">
        <v>428</v>
      </c>
      <c r="H152" s="1" t="s">
        <v>1232</v>
      </c>
      <c r="I152" s="1" t="s">
        <v>1087</v>
      </c>
      <c r="J152">
        <v>1804</v>
      </c>
    </row>
    <row r="153" spans="1:10" x14ac:dyDescent="0.25">
      <c r="A153" s="2" t="s">
        <v>407</v>
      </c>
      <c r="B153" s="3" t="s">
        <v>408</v>
      </c>
      <c r="C153" s="3" t="s">
        <v>406</v>
      </c>
      <c r="D153" s="4" t="s">
        <v>7</v>
      </c>
      <c r="F153">
        <v>6758177505</v>
      </c>
      <c r="G153" s="1" t="s">
        <v>862</v>
      </c>
      <c r="H153" s="1" t="s">
        <v>1233</v>
      </c>
      <c r="I153" s="1" t="s">
        <v>1081</v>
      </c>
      <c r="J153">
        <v>2990</v>
      </c>
    </row>
    <row r="154" spans="1:10" x14ac:dyDescent="0.25">
      <c r="A154" s="5" t="s">
        <v>409</v>
      </c>
      <c r="B154" s="6" t="s">
        <v>410</v>
      </c>
      <c r="C154" s="6" t="s">
        <v>410</v>
      </c>
      <c r="D154" s="7" t="s">
        <v>22</v>
      </c>
      <c r="F154">
        <v>5115061689</v>
      </c>
      <c r="G154" s="1" t="s">
        <v>702</v>
      </c>
      <c r="H154" s="1" t="s">
        <v>1234</v>
      </c>
      <c r="I154" s="1" t="s">
        <v>1081</v>
      </c>
      <c r="J154">
        <v>2840</v>
      </c>
    </row>
    <row r="155" spans="1:10" x14ac:dyDescent="0.25">
      <c r="A155" s="2" t="s">
        <v>411</v>
      </c>
      <c r="B155" s="3" t="s">
        <v>412</v>
      </c>
      <c r="C155" s="3" t="s">
        <v>410</v>
      </c>
      <c r="D155" s="4" t="s">
        <v>7</v>
      </c>
      <c r="F155">
        <v>5418968184</v>
      </c>
      <c r="G155" s="1" t="s">
        <v>248</v>
      </c>
      <c r="H155" s="1" t="s">
        <v>1235</v>
      </c>
      <c r="I155" s="1" t="s">
        <v>1087</v>
      </c>
      <c r="J155">
        <v>1929</v>
      </c>
    </row>
    <row r="156" spans="1:10" x14ac:dyDescent="0.25">
      <c r="A156" s="5" t="s">
        <v>413</v>
      </c>
      <c r="B156" s="6" t="s">
        <v>414</v>
      </c>
      <c r="C156" s="6" t="s">
        <v>415</v>
      </c>
      <c r="D156" s="7" t="s">
        <v>7</v>
      </c>
      <c r="F156">
        <v>2581219876</v>
      </c>
      <c r="G156" s="1" t="s">
        <v>141</v>
      </c>
      <c r="H156" s="1" t="s">
        <v>1236</v>
      </c>
      <c r="I156" s="1" t="s">
        <v>1081</v>
      </c>
      <c r="J156">
        <v>2506</v>
      </c>
    </row>
    <row r="157" spans="1:10" x14ac:dyDescent="0.25">
      <c r="A157" s="2" t="s">
        <v>416</v>
      </c>
      <c r="B157" s="3" t="s">
        <v>417</v>
      </c>
      <c r="C157" s="3" t="s">
        <v>418</v>
      </c>
      <c r="D157" s="4" t="s">
        <v>7</v>
      </c>
      <c r="F157">
        <v>1127056356</v>
      </c>
      <c r="G157" s="1" t="s">
        <v>317</v>
      </c>
      <c r="H157" s="1" t="s">
        <v>1237</v>
      </c>
      <c r="I157" s="1" t="s">
        <v>1087</v>
      </c>
      <c r="J157">
        <v>2924</v>
      </c>
    </row>
    <row r="158" spans="1:10" x14ac:dyDescent="0.25">
      <c r="A158" s="5" t="s">
        <v>419</v>
      </c>
      <c r="B158" s="6" t="s">
        <v>420</v>
      </c>
      <c r="C158" s="6" t="s">
        <v>421</v>
      </c>
      <c r="D158" s="7" t="s">
        <v>7</v>
      </c>
      <c r="F158">
        <v>5528435390</v>
      </c>
      <c r="G158" s="1" t="s">
        <v>248</v>
      </c>
      <c r="H158" s="1" t="s">
        <v>1238</v>
      </c>
      <c r="I158" s="1" t="s">
        <v>1081</v>
      </c>
      <c r="J158">
        <v>2283</v>
      </c>
    </row>
    <row r="159" spans="1:10" x14ac:dyDescent="0.25">
      <c r="A159" s="2" t="s">
        <v>422</v>
      </c>
      <c r="B159" s="3" t="s">
        <v>423</v>
      </c>
      <c r="C159" s="3" t="s">
        <v>424</v>
      </c>
      <c r="D159" s="4" t="s">
        <v>7</v>
      </c>
      <c r="F159">
        <v>4241680809</v>
      </c>
      <c r="G159" s="1" t="s">
        <v>248</v>
      </c>
      <c r="H159" s="1" t="s">
        <v>1239</v>
      </c>
      <c r="I159" s="1" t="s">
        <v>1081</v>
      </c>
      <c r="J159">
        <v>2350</v>
      </c>
    </row>
    <row r="160" spans="1:10" x14ac:dyDescent="0.25">
      <c r="A160" s="5" t="s">
        <v>425</v>
      </c>
      <c r="B160" s="6" t="s">
        <v>426</v>
      </c>
      <c r="C160" s="6" t="s">
        <v>427</v>
      </c>
      <c r="D160" s="7" t="s">
        <v>7</v>
      </c>
      <c r="F160">
        <v>2245871126</v>
      </c>
      <c r="G160" s="1" t="s">
        <v>73</v>
      </c>
      <c r="H160" s="1" t="s">
        <v>1240</v>
      </c>
      <c r="I160" s="1" t="s">
        <v>1081</v>
      </c>
      <c r="J160">
        <v>2340</v>
      </c>
    </row>
    <row r="161" spans="1:10" x14ac:dyDescent="0.25">
      <c r="A161" s="2" t="s">
        <v>428</v>
      </c>
      <c r="B161" s="3" t="s">
        <v>429</v>
      </c>
      <c r="C161" s="3" t="s">
        <v>430</v>
      </c>
      <c r="D161" s="4" t="s">
        <v>7</v>
      </c>
      <c r="F161">
        <v>1620242236</v>
      </c>
      <c r="G161" s="1" t="s">
        <v>314</v>
      </c>
      <c r="H161" s="1" t="s">
        <v>1241</v>
      </c>
      <c r="I161" s="1" t="s">
        <v>1081</v>
      </c>
      <c r="J161">
        <v>2368</v>
      </c>
    </row>
    <row r="162" spans="1:10" x14ac:dyDescent="0.25">
      <c r="A162" s="5" t="s">
        <v>431</v>
      </c>
      <c r="B162" s="6" t="s">
        <v>432</v>
      </c>
      <c r="C162" s="6" t="s">
        <v>433</v>
      </c>
      <c r="D162" s="7" t="s">
        <v>7</v>
      </c>
      <c r="F162">
        <v>4796841112</v>
      </c>
      <c r="G162" s="1" t="s">
        <v>533</v>
      </c>
      <c r="H162" s="1" t="s">
        <v>1242</v>
      </c>
      <c r="I162" s="1" t="s">
        <v>1081</v>
      </c>
      <c r="J162">
        <v>3336</v>
      </c>
    </row>
    <row r="163" spans="1:10" x14ac:dyDescent="0.25">
      <c r="A163" s="2" t="s">
        <v>434</v>
      </c>
      <c r="B163" s="3" t="s">
        <v>430</v>
      </c>
      <c r="C163" s="3" t="s">
        <v>430</v>
      </c>
      <c r="D163" s="4" t="s">
        <v>22</v>
      </c>
      <c r="F163">
        <v>3783578981</v>
      </c>
      <c r="G163" s="1" t="s">
        <v>405</v>
      </c>
      <c r="H163" s="1" t="s">
        <v>1243</v>
      </c>
      <c r="I163" s="1" t="s">
        <v>1081</v>
      </c>
      <c r="J163">
        <v>2510</v>
      </c>
    </row>
    <row r="164" spans="1:10" x14ac:dyDescent="0.25">
      <c r="A164" s="5" t="s">
        <v>435</v>
      </c>
      <c r="B164" s="6" t="s">
        <v>436</v>
      </c>
      <c r="C164" s="6" t="s">
        <v>437</v>
      </c>
      <c r="D164" s="7" t="s">
        <v>7</v>
      </c>
      <c r="F164">
        <v>5115061689</v>
      </c>
      <c r="G164" s="1" t="s">
        <v>704</v>
      </c>
      <c r="H164" s="1" t="s">
        <v>1244</v>
      </c>
      <c r="I164" s="1" t="s">
        <v>1081</v>
      </c>
      <c r="J164">
        <v>2358</v>
      </c>
    </row>
    <row r="165" spans="1:10" x14ac:dyDescent="0.25">
      <c r="A165" s="2" t="s">
        <v>438</v>
      </c>
      <c r="B165" s="3" t="s">
        <v>439</v>
      </c>
      <c r="C165" s="3" t="s">
        <v>440</v>
      </c>
      <c r="D165" s="4" t="s">
        <v>7</v>
      </c>
      <c r="F165">
        <v>6758177505</v>
      </c>
      <c r="G165" s="1" t="s">
        <v>562</v>
      </c>
      <c r="H165" s="1" t="s">
        <v>1245</v>
      </c>
      <c r="I165" s="1" t="s">
        <v>1081</v>
      </c>
      <c r="J165">
        <v>3104</v>
      </c>
    </row>
    <row r="166" spans="1:10" x14ac:dyDescent="0.25">
      <c r="A166" s="5" t="s">
        <v>441</v>
      </c>
      <c r="B166" s="6" t="s">
        <v>442</v>
      </c>
      <c r="C166" s="6" t="s">
        <v>443</v>
      </c>
      <c r="D166" s="7" t="s">
        <v>7</v>
      </c>
      <c r="F166">
        <v>2138598159</v>
      </c>
      <c r="G166" s="1" t="s">
        <v>143</v>
      </c>
      <c r="H166" s="1" t="s">
        <v>1246</v>
      </c>
      <c r="I166" s="1" t="s">
        <v>1081</v>
      </c>
      <c r="J166">
        <v>2391</v>
      </c>
    </row>
    <row r="167" spans="1:10" x14ac:dyDescent="0.25">
      <c r="A167" s="2" t="s">
        <v>444</v>
      </c>
      <c r="B167" s="3" t="s">
        <v>445</v>
      </c>
      <c r="C167" s="3" t="s">
        <v>446</v>
      </c>
      <c r="D167" s="4" t="s">
        <v>7</v>
      </c>
      <c r="F167">
        <v>1524870307</v>
      </c>
      <c r="G167" s="1" t="s">
        <v>248</v>
      </c>
      <c r="H167" s="1" t="s">
        <v>1247</v>
      </c>
      <c r="I167" s="1" t="s">
        <v>1081</v>
      </c>
      <c r="J167">
        <v>2790</v>
      </c>
    </row>
    <row r="168" spans="1:10" x14ac:dyDescent="0.25">
      <c r="A168" s="5" t="s">
        <v>447</v>
      </c>
      <c r="B168" s="6" t="s">
        <v>448</v>
      </c>
      <c r="C168" s="6" t="s">
        <v>449</v>
      </c>
      <c r="D168" s="7" t="s">
        <v>7</v>
      </c>
      <c r="F168">
        <v>4796841112</v>
      </c>
      <c r="G168" s="1" t="s">
        <v>533</v>
      </c>
      <c r="H168" s="1" t="s">
        <v>1248</v>
      </c>
      <c r="I168" s="1" t="s">
        <v>1081</v>
      </c>
      <c r="J168">
        <v>1796</v>
      </c>
    </row>
    <row r="169" spans="1:10" x14ac:dyDescent="0.25">
      <c r="A169" s="2" t="s">
        <v>450</v>
      </c>
      <c r="B169" s="3" t="s">
        <v>451</v>
      </c>
      <c r="C169" s="3" t="s">
        <v>452</v>
      </c>
      <c r="D169" s="4" t="s">
        <v>7</v>
      </c>
      <c r="F169">
        <v>3470453173</v>
      </c>
      <c r="G169" s="1" t="s">
        <v>85</v>
      </c>
      <c r="H169" s="1" t="s">
        <v>1249</v>
      </c>
      <c r="I169" s="1" t="s">
        <v>1081</v>
      </c>
      <c r="J169">
        <v>1790</v>
      </c>
    </row>
    <row r="170" spans="1:10" x14ac:dyDescent="0.25">
      <c r="A170" s="5" t="s">
        <v>453</v>
      </c>
      <c r="B170" s="6" t="s">
        <v>454</v>
      </c>
      <c r="C170" s="6" t="s">
        <v>455</v>
      </c>
      <c r="D170" s="7" t="s">
        <v>7</v>
      </c>
      <c r="F170">
        <v>4761158900</v>
      </c>
      <c r="G170" s="1" t="s">
        <v>294</v>
      </c>
      <c r="H170" s="1" t="s">
        <v>1250</v>
      </c>
      <c r="I170" s="1" t="s">
        <v>1087</v>
      </c>
      <c r="J170">
        <v>2460</v>
      </c>
    </row>
    <row r="171" spans="1:10" x14ac:dyDescent="0.25">
      <c r="A171" s="2" t="s">
        <v>456</v>
      </c>
      <c r="B171" s="3" t="s">
        <v>457</v>
      </c>
      <c r="C171" s="3" t="s">
        <v>458</v>
      </c>
      <c r="D171" s="4" t="s">
        <v>7</v>
      </c>
      <c r="F171">
        <v>3866883575</v>
      </c>
      <c r="G171" s="1" t="s">
        <v>434</v>
      </c>
      <c r="H171" s="1" t="s">
        <v>1251</v>
      </c>
      <c r="I171" s="1" t="s">
        <v>1081</v>
      </c>
      <c r="J171">
        <v>3300</v>
      </c>
    </row>
    <row r="172" spans="1:10" x14ac:dyDescent="0.25">
      <c r="A172" s="5" t="s">
        <v>459</v>
      </c>
      <c r="B172" s="6" t="s">
        <v>460</v>
      </c>
      <c r="C172" s="6" t="s">
        <v>461</v>
      </c>
      <c r="D172" s="7" t="s">
        <v>7</v>
      </c>
      <c r="F172">
        <v>4326751508</v>
      </c>
      <c r="G172" s="1" t="s">
        <v>405</v>
      </c>
      <c r="H172" s="1" t="s">
        <v>1252</v>
      </c>
      <c r="I172" s="1" t="s">
        <v>1081</v>
      </c>
      <c r="J172">
        <v>2365</v>
      </c>
    </row>
    <row r="173" spans="1:10" x14ac:dyDescent="0.25">
      <c r="A173" s="2" t="s">
        <v>462</v>
      </c>
      <c r="B173" s="3" t="s">
        <v>463</v>
      </c>
      <c r="C173" s="3" t="s">
        <v>464</v>
      </c>
      <c r="D173" s="4" t="s">
        <v>7</v>
      </c>
      <c r="F173">
        <v>1278408463</v>
      </c>
      <c r="G173" s="1" t="s">
        <v>312</v>
      </c>
      <c r="H173" s="1" t="s">
        <v>1253</v>
      </c>
      <c r="I173" s="1" t="s">
        <v>1087</v>
      </c>
      <c r="J173">
        <v>3270</v>
      </c>
    </row>
    <row r="174" spans="1:10" x14ac:dyDescent="0.25">
      <c r="A174" s="5" t="s">
        <v>465</v>
      </c>
      <c r="B174" s="6" t="s">
        <v>466</v>
      </c>
      <c r="C174" s="6" t="s">
        <v>467</v>
      </c>
      <c r="D174" s="7" t="s">
        <v>7</v>
      </c>
      <c r="F174">
        <v>4326751508</v>
      </c>
      <c r="G174" s="1" t="s">
        <v>405</v>
      </c>
      <c r="H174" s="1" t="s">
        <v>1254</v>
      </c>
      <c r="I174" s="1" t="s">
        <v>1081</v>
      </c>
      <c r="J174">
        <v>1835</v>
      </c>
    </row>
    <row r="175" spans="1:10" x14ac:dyDescent="0.25">
      <c r="A175" s="2" t="s">
        <v>468</v>
      </c>
      <c r="B175" s="3" t="s">
        <v>469</v>
      </c>
      <c r="C175" s="3" t="s">
        <v>470</v>
      </c>
      <c r="D175" s="4" t="s">
        <v>7</v>
      </c>
      <c r="F175">
        <v>1581329071</v>
      </c>
      <c r="G175" s="1" t="s">
        <v>248</v>
      </c>
      <c r="H175" s="1" t="s">
        <v>1255</v>
      </c>
      <c r="I175" s="1" t="s">
        <v>1087</v>
      </c>
      <c r="J175">
        <v>2320</v>
      </c>
    </row>
    <row r="176" spans="1:10" x14ac:dyDescent="0.25">
      <c r="A176" s="5" t="s">
        <v>471</v>
      </c>
      <c r="B176" s="6" t="s">
        <v>472</v>
      </c>
      <c r="C176" s="6" t="s">
        <v>473</v>
      </c>
      <c r="D176" s="7" t="s">
        <v>7</v>
      </c>
      <c r="F176">
        <v>1620242236</v>
      </c>
      <c r="G176" s="1" t="s">
        <v>314</v>
      </c>
      <c r="H176" s="1" t="s">
        <v>1256</v>
      </c>
      <c r="I176" s="1" t="s">
        <v>1081</v>
      </c>
      <c r="J176">
        <v>2067</v>
      </c>
    </row>
    <row r="177" spans="1:10" x14ac:dyDescent="0.25">
      <c r="A177" s="2" t="s">
        <v>474</v>
      </c>
      <c r="B177" s="3" t="s">
        <v>475</v>
      </c>
      <c r="C177" s="3" t="s">
        <v>476</v>
      </c>
      <c r="D177" s="4" t="s">
        <v>7</v>
      </c>
      <c r="F177">
        <v>2214740049</v>
      </c>
      <c r="G177" s="1" t="s">
        <v>56</v>
      </c>
      <c r="H177" s="1" t="s">
        <v>1257</v>
      </c>
      <c r="I177" s="1" t="s">
        <v>1081</v>
      </c>
      <c r="J177">
        <v>2366</v>
      </c>
    </row>
    <row r="178" spans="1:10" x14ac:dyDescent="0.25">
      <c r="A178" s="5" t="s">
        <v>477</v>
      </c>
      <c r="B178" s="6" t="s">
        <v>478</v>
      </c>
      <c r="C178" s="6" t="s">
        <v>479</v>
      </c>
      <c r="D178" s="7" t="s">
        <v>7</v>
      </c>
      <c r="F178">
        <v>1433397952</v>
      </c>
      <c r="G178" s="1" t="s">
        <v>314</v>
      </c>
      <c r="H178" s="1" t="s">
        <v>1258</v>
      </c>
      <c r="I178" s="1" t="s">
        <v>1081</v>
      </c>
      <c r="J178">
        <v>1990</v>
      </c>
    </row>
    <row r="179" spans="1:10" x14ac:dyDescent="0.25">
      <c r="A179" s="2" t="s">
        <v>480</v>
      </c>
      <c r="B179" s="3" t="s">
        <v>481</v>
      </c>
      <c r="C179" s="3" t="s">
        <v>482</v>
      </c>
      <c r="D179" s="4" t="s">
        <v>7</v>
      </c>
      <c r="F179">
        <v>2581219876</v>
      </c>
      <c r="G179" s="1" t="s">
        <v>141</v>
      </c>
      <c r="H179" s="1" t="s">
        <v>1259</v>
      </c>
      <c r="I179" s="1" t="s">
        <v>1087</v>
      </c>
      <c r="J179">
        <v>2120</v>
      </c>
    </row>
    <row r="180" spans="1:10" x14ac:dyDescent="0.25">
      <c r="A180" s="5" t="s">
        <v>483</v>
      </c>
      <c r="B180" s="6" t="s">
        <v>484</v>
      </c>
      <c r="C180" s="6" t="s">
        <v>485</v>
      </c>
      <c r="D180" s="7" t="s">
        <v>7</v>
      </c>
      <c r="F180">
        <v>3470453173</v>
      </c>
      <c r="G180" s="1" t="s">
        <v>85</v>
      </c>
      <c r="H180" s="1" t="s">
        <v>1260</v>
      </c>
      <c r="I180" s="1" t="s">
        <v>1087</v>
      </c>
      <c r="J180">
        <v>1620</v>
      </c>
    </row>
    <row r="181" spans="1:10" x14ac:dyDescent="0.25">
      <c r="A181" s="2" t="s">
        <v>486</v>
      </c>
      <c r="B181" s="3" t="s">
        <v>487</v>
      </c>
      <c r="C181" s="3" t="s">
        <v>488</v>
      </c>
      <c r="D181" s="4" t="s">
        <v>7</v>
      </c>
      <c r="F181">
        <v>4761158900</v>
      </c>
      <c r="G181" s="1" t="s">
        <v>294</v>
      </c>
      <c r="H181" s="1" t="s">
        <v>1261</v>
      </c>
      <c r="I181" s="1" t="s">
        <v>1081</v>
      </c>
      <c r="J181">
        <v>2080</v>
      </c>
    </row>
    <row r="182" spans="1:10" x14ac:dyDescent="0.25">
      <c r="A182" s="5" t="s">
        <v>489</v>
      </c>
      <c r="B182" s="6" t="s">
        <v>490</v>
      </c>
      <c r="C182" s="6" t="s">
        <v>490</v>
      </c>
      <c r="D182" s="7" t="s">
        <v>22</v>
      </c>
      <c r="F182">
        <v>1820566794</v>
      </c>
      <c r="G182" s="1" t="s">
        <v>604</v>
      </c>
      <c r="H182" s="1" t="s">
        <v>1262</v>
      </c>
      <c r="I182" s="1" t="s">
        <v>1087</v>
      </c>
      <c r="J182">
        <v>2658</v>
      </c>
    </row>
    <row r="183" spans="1:10" x14ac:dyDescent="0.25">
      <c r="A183" s="2" t="s">
        <v>491</v>
      </c>
      <c r="B183" s="3" t="s">
        <v>492</v>
      </c>
      <c r="C183" s="3" t="s">
        <v>493</v>
      </c>
      <c r="D183" s="4" t="s">
        <v>7</v>
      </c>
      <c r="F183">
        <v>4761158900</v>
      </c>
      <c r="G183" s="1" t="s">
        <v>294</v>
      </c>
      <c r="H183" s="1" t="s">
        <v>1263</v>
      </c>
      <c r="I183" s="1" t="s">
        <v>1087</v>
      </c>
      <c r="J183">
        <v>2582</v>
      </c>
    </row>
    <row r="184" spans="1:10" x14ac:dyDescent="0.25">
      <c r="A184" s="5" t="s">
        <v>494</v>
      </c>
      <c r="B184" s="6" t="s">
        <v>495</v>
      </c>
      <c r="C184" s="6" t="s">
        <v>496</v>
      </c>
      <c r="D184" s="7" t="s">
        <v>7</v>
      </c>
      <c r="F184">
        <v>1278408463</v>
      </c>
      <c r="G184" s="1" t="s">
        <v>312</v>
      </c>
      <c r="H184" s="1" t="s">
        <v>1264</v>
      </c>
      <c r="I184" s="1" t="s">
        <v>1087</v>
      </c>
      <c r="J184">
        <v>2852</v>
      </c>
    </row>
    <row r="185" spans="1:10" x14ac:dyDescent="0.25">
      <c r="A185" s="2" t="s">
        <v>497</v>
      </c>
      <c r="B185" s="3" t="s">
        <v>498</v>
      </c>
      <c r="C185" s="3" t="s">
        <v>499</v>
      </c>
      <c r="D185" s="4" t="s">
        <v>7</v>
      </c>
      <c r="F185">
        <v>5229945534</v>
      </c>
      <c r="G185" s="1" t="s">
        <v>248</v>
      </c>
      <c r="H185" s="1" t="s">
        <v>1265</v>
      </c>
      <c r="I185" s="1" t="s">
        <v>1081</v>
      </c>
      <c r="J185">
        <v>1968</v>
      </c>
    </row>
    <row r="186" spans="1:10" x14ac:dyDescent="0.25">
      <c r="A186" s="5" t="s">
        <v>500</v>
      </c>
      <c r="B186" s="6" t="s">
        <v>501</v>
      </c>
      <c r="C186" s="6" t="s">
        <v>502</v>
      </c>
      <c r="D186" s="7" t="s">
        <v>7</v>
      </c>
      <c r="F186">
        <v>3783578981</v>
      </c>
      <c r="G186" s="1" t="s">
        <v>405</v>
      </c>
      <c r="H186" s="1" t="s">
        <v>1266</v>
      </c>
      <c r="I186" s="1" t="s">
        <v>1081</v>
      </c>
      <c r="J186">
        <v>3160</v>
      </c>
    </row>
    <row r="187" spans="1:10" x14ac:dyDescent="0.25">
      <c r="A187" s="2" t="s">
        <v>503</v>
      </c>
      <c r="B187" s="3" t="s">
        <v>504</v>
      </c>
      <c r="C187" s="3" t="s">
        <v>505</v>
      </c>
      <c r="D187" s="4" t="s">
        <v>7</v>
      </c>
      <c r="F187">
        <v>4458233905</v>
      </c>
      <c r="G187" s="1" t="s">
        <v>1003</v>
      </c>
      <c r="H187" s="1" t="s">
        <v>1267</v>
      </c>
      <c r="I187" s="1" t="s">
        <v>1087</v>
      </c>
      <c r="J187">
        <v>2022</v>
      </c>
    </row>
    <row r="188" spans="1:10" x14ac:dyDescent="0.25">
      <c r="A188" s="5" t="s">
        <v>506</v>
      </c>
      <c r="B188" s="6" t="s">
        <v>507</v>
      </c>
      <c r="C188" s="6" t="s">
        <v>508</v>
      </c>
      <c r="D188" s="7" t="s">
        <v>7</v>
      </c>
      <c r="F188">
        <v>1871447797</v>
      </c>
      <c r="G188" s="1" t="s">
        <v>248</v>
      </c>
      <c r="H188" s="1" t="s">
        <v>1268</v>
      </c>
      <c r="I188" s="1" t="s">
        <v>1081</v>
      </c>
      <c r="J188">
        <v>2350</v>
      </c>
    </row>
    <row r="189" spans="1:10" x14ac:dyDescent="0.25">
      <c r="A189" s="2" t="s">
        <v>509</v>
      </c>
      <c r="B189" s="3" t="s">
        <v>507</v>
      </c>
      <c r="C189" s="3" t="s">
        <v>510</v>
      </c>
      <c r="D189" s="4" t="s">
        <v>7</v>
      </c>
      <c r="F189">
        <v>4761158900</v>
      </c>
      <c r="G189" s="1" t="s">
        <v>294</v>
      </c>
      <c r="H189" s="1" t="s">
        <v>1269</v>
      </c>
      <c r="I189" s="1" t="s">
        <v>1087</v>
      </c>
      <c r="J189">
        <v>2468</v>
      </c>
    </row>
    <row r="190" spans="1:10" x14ac:dyDescent="0.25">
      <c r="A190" s="5" t="s">
        <v>511</v>
      </c>
      <c r="B190" s="6" t="s">
        <v>512</v>
      </c>
      <c r="C190" s="6" t="s">
        <v>513</v>
      </c>
      <c r="D190" s="7" t="s">
        <v>7</v>
      </c>
      <c r="F190">
        <v>2581219876</v>
      </c>
      <c r="G190" s="1" t="s">
        <v>141</v>
      </c>
      <c r="H190" s="1" t="s">
        <v>1270</v>
      </c>
      <c r="I190" s="1" t="s">
        <v>1081</v>
      </c>
      <c r="J190">
        <v>2610</v>
      </c>
    </row>
    <row r="191" spans="1:10" x14ac:dyDescent="0.25">
      <c r="A191" s="2" t="s">
        <v>514</v>
      </c>
      <c r="B191" s="3" t="s">
        <v>515</v>
      </c>
      <c r="C191" s="3" t="s">
        <v>516</v>
      </c>
      <c r="D191" s="4" t="s">
        <v>7</v>
      </c>
      <c r="F191">
        <v>4580185570</v>
      </c>
      <c r="G191" s="1" t="s">
        <v>248</v>
      </c>
      <c r="H191" s="1" t="s">
        <v>1271</v>
      </c>
      <c r="I191" s="1" t="s">
        <v>1087</v>
      </c>
      <c r="J191">
        <v>3204</v>
      </c>
    </row>
    <row r="192" spans="1:10" x14ac:dyDescent="0.25">
      <c r="A192" s="5" t="s">
        <v>517</v>
      </c>
      <c r="B192" s="6" t="s">
        <v>518</v>
      </c>
      <c r="C192" s="6" t="s">
        <v>519</v>
      </c>
      <c r="D192" s="7" t="s">
        <v>7</v>
      </c>
      <c r="F192">
        <v>1599095267</v>
      </c>
      <c r="G192" s="1" t="s">
        <v>248</v>
      </c>
      <c r="H192" s="1" t="s">
        <v>1272</v>
      </c>
      <c r="I192" s="1" t="s">
        <v>1087</v>
      </c>
      <c r="J192">
        <v>2516</v>
      </c>
    </row>
    <row r="193" spans="1:10" x14ac:dyDescent="0.25">
      <c r="A193" s="2" t="s">
        <v>520</v>
      </c>
      <c r="B193" s="3" t="s">
        <v>521</v>
      </c>
      <c r="C193" s="3" t="s">
        <v>522</v>
      </c>
      <c r="D193" s="4" t="s">
        <v>7</v>
      </c>
      <c r="F193">
        <v>3357631311</v>
      </c>
      <c r="G193" s="1" t="s">
        <v>1030</v>
      </c>
      <c r="H193" s="1" t="s">
        <v>1273</v>
      </c>
      <c r="I193" s="1" t="s">
        <v>1087</v>
      </c>
      <c r="J193">
        <v>1792</v>
      </c>
    </row>
    <row r="194" spans="1:10" x14ac:dyDescent="0.25">
      <c r="A194" s="5" t="s">
        <v>523</v>
      </c>
      <c r="B194" s="6" t="s">
        <v>524</v>
      </c>
      <c r="C194" s="6" t="s">
        <v>525</v>
      </c>
      <c r="D194" s="7" t="s">
        <v>7</v>
      </c>
      <c r="F194">
        <v>4241680809</v>
      </c>
      <c r="G194" s="1" t="s">
        <v>777</v>
      </c>
      <c r="H194" s="1" t="s">
        <v>1274</v>
      </c>
      <c r="I194" s="1" t="s">
        <v>1081</v>
      </c>
      <c r="J194">
        <v>2885</v>
      </c>
    </row>
    <row r="195" spans="1:10" x14ac:dyDescent="0.25">
      <c r="A195" s="2" t="s">
        <v>526</v>
      </c>
      <c r="B195" s="3" t="s">
        <v>516</v>
      </c>
      <c r="C195" s="3" t="s">
        <v>516</v>
      </c>
      <c r="D195" s="4" t="s">
        <v>22</v>
      </c>
      <c r="F195">
        <v>2281651150</v>
      </c>
      <c r="G195" s="1" t="s">
        <v>552</v>
      </c>
      <c r="H195" s="1" t="s">
        <v>1275</v>
      </c>
      <c r="I195" s="1" t="s">
        <v>1087</v>
      </c>
      <c r="J195">
        <v>2550</v>
      </c>
    </row>
    <row r="196" spans="1:10" x14ac:dyDescent="0.25">
      <c r="A196" s="5" t="s">
        <v>527</v>
      </c>
      <c r="B196" s="6" t="s">
        <v>528</v>
      </c>
      <c r="C196" s="6" t="s">
        <v>529</v>
      </c>
      <c r="D196" s="7" t="s">
        <v>7</v>
      </c>
      <c r="F196">
        <v>4779174699</v>
      </c>
      <c r="G196" s="1" t="s">
        <v>1003</v>
      </c>
      <c r="H196" s="1" t="s">
        <v>1276</v>
      </c>
      <c r="I196" s="1" t="s">
        <v>1081</v>
      </c>
      <c r="J196">
        <v>2362</v>
      </c>
    </row>
    <row r="197" spans="1:10" x14ac:dyDescent="0.25">
      <c r="A197" s="2" t="s">
        <v>530</v>
      </c>
      <c r="B197" s="3" t="s">
        <v>531</v>
      </c>
      <c r="C197" s="3" t="s">
        <v>532</v>
      </c>
      <c r="D197" s="4" t="s">
        <v>7</v>
      </c>
      <c r="F197">
        <v>5624201652</v>
      </c>
      <c r="G197" s="1" t="s">
        <v>864</v>
      </c>
      <c r="H197" s="1" t="s">
        <v>1277</v>
      </c>
      <c r="I197" s="1" t="s">
        <v>1081</v>
      </c>
      <c r="J197">
        <v>3216</v>
      </c>
    </row>
    <row r="198" spans="1:10" x14ac:dyDescent="0.25">
      <c r="A198" s="5" t="s">
        <v>533</v>
      </c>
      <c r="B198" s="6" t="s">
        <v>534</v>
      </c>
      <c r="C198" s="6" t="s">
        <v>535</v>
      </c>
      <c r="D198" s="7" t="s">
        <v>7</v>
      </c>
      <c r="F198">
        <v>3866883575</v>
      </c>
      <c r="G198" s="1" t="s">
        <v>434</v>
      </c>
      <c r="H198" s="1" t="s">
        <v>1278</v>
      </c>
      <c r="I198" s="1" t="s">
        <v>1087</v>
      </c>
      <c r="J198">
        <v>2034</v>
      </c>
    </row>
    <row r="199" spans="1:10" x14ac:dyDescent="0.25">
      <c r="A199" s="2" t="s">
        <v>536</v>
      </c>
      <c r="B199" s="3" t="s">
        <v>537</v>
      </c>
      <c r="C199" s="3" t="s">
        <v>538</v>
      </c>
      <c r="D199" s="4" t="s">
        <v>7</v>
      </c>
      <c r="F199">
        <v>4796841112</v>
      </c>
      <c r="G199" s="1" t="s">
        <v>533</v>
      </c>
      <c r="H199" s="1" t="s">
        <v>1279</v>
      </c>
      <c r="I199" s="1" t="s">
        <v>1087</v>
      </c>
      <c r="J199">
        <v>1885</v>
      </c>
    </row>
    <row r="200" spans="1:10" x14ac:dyDescent="0.25">
      <c r="A200" s="5" t="s">
        <v>539</v>
      </c>
      <c r="B200" s="6" t="s">
        <v>540</v>
      </c>
      <c r="C200" s="6" t="s">
        <v>538</v>
      </c>
      <c r="D200" s="7" t="s">
        <v>7</v>
      </c>
      <c r="F200">
        <v>5341884086</v>
      </c>
      <c r="G200" s="1" t="s">
        <v>777</v>
      </c>
      <c r="H200" s="1" t="s">
        <v>1280</v>
      </c>
      <c r="I200" s="1" t="s">
        <v>1087</v>
      </c>
      <c r="J200">
        <v>2490</v>
      </c>
    </row>
    <row r="201" spans="1:10" x14ac:dyDescent="0.25">
      <c r="A201" s="2" t="s">
        <v>541</v>
      </c>
      <c r="B201" s="3" t="s">
        <v>542</v>
      </c>
      <c r="C201" s="3" t="s">
        <v>543</v>
      </c>
      <c r="D201" s="4" t="s">
        <v>7</v>
      </c>
      <c r="F201">
        <v>4779174699</v>
      </c>
      <c r="G201" s="1" t="s">
        <v>1003</v>
      </c>
      <c r="H201" s="1" t="s">
        <v>1281</v>
      </c>
      <c r="I201" s="1" t="s">
        <v>1081</v>
      </c>
      <c r="J201">
        <v>2580</v>
      </c>
    </row>
    <row r="202" spans="1:10" x14ac:dyDescent="0.25">
      <c r="A202" s="5" t="s">
        <v>544</v>
      </c>
      <c r="B202" s="6" t="s">
        <v>545</v>
      </c>
      <c r="C202" s="6" t="s">
        <v>546</v>
      </c>
      <c r="D202" s="7" t="s">
        <v>7</v>
      </c>
      <c r="F202">
        <v>5514533376</v>
      </c>
      <c r="G202" s="1" t="s">
        <v>40</v>
      </c>
      <c r="H202" s="1" t="s">
        <v>1282</v>
      </c>
      <c r="I202" s="1" t="s">
        <v>1081</v>
      </c>
      <c r="J202">
        <v>2634</v>
      </c>
    </row>
    <row r="203" spans="1:10" x14ac:dyDescent="0.25">
      <c r="A203" s="2" t="s">
        <v>547</v>
      </c>
      <c r="B203" s="3" t="s">
        <v>548</v>
      </c>
      <c r="C203" s="3" t="s">
        <v>549</v>
      </c>
      <c r="D203" s="4" t="s">
        <v>7</v>
      </c>
      <c r="F203">
        <v>3470453173</v>
      </c>
      <c r="G203" s="1" t="s">
        <v>85</v>
      </c>
      <c r="H203" s="1" t="s">
        <v>1283</v>
      </c>
      <c r="I203" s="1" t="s">
        <v>1087</v>
      </c>
      <c r="J203">
        <v>2584</v>
      </c>
    </row>
    <row r="204" spans="1:10" x14ac:dyDescent="0.25">
      <c r="A204" s="5" t="s">
        <v>550</v>
      </c>
      <c r="B204" s="6" t="s">
        <v>551</v>
      </c>
      <c r="C204" s="6" t="s">
        <v>551</v>
      </c>
      <c r="D204" s="7" t="s">
        <v>22</v>
      </c>
      <c r="F204">
        <v>4796841112</v>
      </c>
      <c r="G204" s="1" t="s">
        <v>533</v>
      </c>
      <c r="H204" s="1" t="s">
        <v>1284</v>
      </c>
      <c r="I204" s="1" t="s">
        <v>1081</v>
      </c>
      <c r="J204">
        <v>2576</v>
      </c>
    </row>
    <row r="205" spans="1:10" x14ac:dyDescent="0.25">
      <c r="A205" s="2" t="s">
        <v>552</v>
      </c>
      <c r="B205" s="3" t="s">
        <v>553</v>
      </c>
      <c r="C205" s="3" t="s">
        <v>551</v>
      </c>
      <c r="D205" s="4" t="s">
        <v>7</v>
      </c>
      <c r="F205">
        <v>5266741491</v>
      </c>
      <c r="G205" s="1" t="s">
        <v>777</v>
      </c>
      <c r="H205" s="1" t="s">
        <v>1285</v>
      </c>
      <c r="I205" s="1" t="s">
        <v>1087</v>
      </c>
      <c r="J205">
        <v>1946</v>
      </c>
    </row>
    <row r="206" spans="1:10" x14ac:dyDescent="0.25">
      <c r="A206" s="5" t="s">
        <v>554</v>
      </c>
      <c r="B206" s="6" t="s">
        <v>555</v>
      </c>
      <c r="C206" s="6" t="s">
        <v>556</v>
      </c>
      <c r="D206" s="7" t="s">
        <v>7</v>
      </c>
      <c r="F206">
        <v>4715154852</v>
      </c>
      <c r="G206" s="1" t="s">
        <v>1003</v>
      </c>
      <c r="H206" s="1" t="s">
        <v>1286</v>
      </c>
      <c r="I206" s="1" t="s">
        <v>1081</v>
      </c>
      <c r="J206">
        <v>2880</v>
      </c>
    </row>
    <row r="207" spans="1:10" x14ac:dyDescent="0.25">
      <c r="A207" s="2" t="s">
        <v>557</v>
      </c>
      <c r="B207" s="3" t="s">
        <v>558</v>
      </c>
      <c r="C207" s="3" t="s">
        <v>559</v>
      </c>
      <c r="D207" s="4" t="s">
        <v>7</v>
      </c>
      <c r="F207">
        <v>5418968184</v>
      </c>
      <c r="G207" s="1" t="s">
        <v>777</v>
      </c>
      <c r="H207" s="1" t="s">
        <v>1287</v>
      </c>
      <c r="I207" s="1" t="s">
        <v>1081</v>
      </c>
      <c r="J207">
        <v>2630</v>
      </c>
    </row>
    <row r="208" spans="1:10" x14ac:dyDescent="0.25">
      <c r="A208" s="5" t="s">
        <v>560</v>
      </c>
      <c r="B208" s="6" t="s">
        <v>561</v>
      </c>
      <c r="C208" s="6" t="s">
        <v>561</v>
      </c>
      <c r="D208" s="7" t="s">
        <v>22</v>
      </c>
      <c r="F208">
        <v>1599095267</v>
      </c>
      <c r="G208" s="1" t="s">
        <v>777</v>
      </c>
      <c r="H208" s="1" t="s">
        <v>1288</v>
      </c>
      <c r="I208" s="1" t="s">
        <v>1087</v>
      </c>
      <c r="J208">
        <v>2112</v>
      </c>
    </row>
    <row r="209" spans="1:10" x14ac:dyDescent="0.25">
      <c r="A209" s="2" t="s">
        <v>562</v>
      </c>
      <c r="B209" s="3" t="s">
        <v>563</v>
      </c>
      <c r="C209" s="3" t="s">
        <v>561</v>
      </c>
      <c r="D209" s="4" t="s">
        <v>7</v>
      </c>
      <c r="F209">
        <v>1433397952</v>
      </c>
      <c r="G209" s="1" t="s">
        <v>314</v>
      </c>
      <c r="H209" s="1" t="s">
        <v>1289</v>
      </c>
      <c r="I209" s="1" t="s">
        <v>1081</v>
      </c>
      <c r="J209">
        <v>2928</v>
      </c>
    </row>
    <row r="210" spans="1:10" x14ac:dyDescent="0.25">
      <c r="A210" s="5" t="s">
        <v>564</v>
      </c>
      <c r="B210" s="6" t="s">
        <v>563</v>
      </c>
      <c r="C210" s="6" t="s">
        <v>565</v>
      </c>
      <c r="D210" s="7" t="s">
        <v>7</v>
      </c>
      <c r="F210">
        <v>2281651150</v>
      </c>
      <c r="G210" s="1" t="s">
        <v>552</v>
      </c>
      <c r="H210" s="1" t="s">
        <v>1290</v>
      </c>
      <c r="I210" s="1" t="s">
        <v>1087</v>
      </c>
      <c r="J210">
        <v>2295</v>
      </c>
    </row>
    <row r="211" spans="1:10" x14ac:dyDescent="0.25">
      <c r="A211" s="2" t="s">
        <v>566</v>
      </c>
      <c r="B211" s="3" t="s">
        <v>567</v>
      </c>
      <c r="C211" s="3" t="s">
        <v>568</v>
      </c>
      <c r="D211" s="4" t="s">
        <v>7</v>
      </c>
      <c r="F211">
        <v>5341884086</v>
      </c>
      <c r="G211" s="1" t="s">
        <v>777</v>
      </c>
      <c r="H211" s="1" t="s">
        <v>1291</v>
      </c>
      <c r="I211" s="1" t="s">
        <v>1081</v>
      </c>
      <c r="J211">
        <v>2556</v>
      </c>
    </row>
    <row r="212" spans="1:10" x14ac:dyDescent="0.25">
      <c r="A212" s="5" t="s">
        <v>569</v>
      </c>
      <c r="B212" s="6" t="s">
        <v>570</v>
      </c>
      <c r="C212" s="6" t="s">
        <v>571</v>
      </c>
      <c r="D212" s="7" t="s">
        <v>7</v>
      </c>
      <c r="F212">
        <v>3568004264</v>
      </c>
      <c r="G212" s="1" t="s">
        <v>428</v>
      </c>
      <c r="H212" s="1" t="s">
        <v>1292</v>
      </c>
      <c r="I212" s="1" t="s">
        <v>1081</v>
      </c>
      <c r="J212">
        <v>2568</v>
      </c>
    </row>
    <row r="213" spans="1:10" x14ac:dyDescent="0.25">
      <c r="A213" s="2" t="s">
        <v>572</v>
      </c>
      <c r="B213" s="3" t="s">
        <v>571</v>
      </c>
      <c r="C213" s="3" t="s">
        <v>571</v>
      </c>
      <c r="D213" s="4" t="s">
        <v>22</v>
      </c>
      <c r="F213">
        <v>5185759244</v>
      </c>
      <c r="G213" s="1" t="s">
        <v>777</v>
      </c>
      <c r="H213" s="1" t="s">
        <v>1293</v>
      </c>
      <c r="I213" s="1" t="s">
        <v>1081</v>
      </c>
      <c r="J213">
        <v>2674</v>
      </c>
    </row>
    <row r="214" spans="1:10" x14ac:dyDescent="0.25">
      <c r="A214" s="5" t="s">
        <v>573</v>
      </c>
      <c r="B214" s="6" t="s">
        <v>574</v>
      </c>
      <c r="C214" s="6" t="s">
        <v>575</v>
      </c>
      <c r="D214" s="7" t="s">
        <v>7</v>
      </c>
      <c r="F214">
        <v>4326751508</v>
      </c>
      <c r="G214" s="1" t="s">
        <v>40</v>
      </c>
      <c r="H214" s="1" t="s">
        <v>1294</v>
      </c>
      <c r="I214" s="1" t="s">
        <v>1081</v>
      </c>
      <c r="J214">
        <v>3120</v>
      </c>
    </row>
    <row r="215" spans="1:10" x14ac:dyDescent="0.25">
      <c r="A215" s="2" t="s">
        <v>576</v>
      </c>
      <c r="B215" s="3" t="s">
        <v>577</v>
      </c>
      <c r="C215" s="3" t="s">
        <v>578</v>
      </c>
      <c r="D215" s="4" t="s">
        <v>7</v>
      </c>
      <c r="F215">
        <v>1433397952</v>
      </c>
      <c r="G215" s="1" t="s">
        <v>314</v>
      </c>
      <c r="H215" s="1" t="s">
        <v>1295</v>
      </c>
      <c r="I215" s="1" t="s">
        <v>1087</v>
      </c>
      <c r="J215">
        <v>1896</v>
      </c>
    </row>
    <row r="216" spans="1:10" x14ac:dyDescent="0.25">
      <c r="A216" s="5" t="s">
        <v>579</v>
      </c>
      <c r="B216" s="6" t="s">
        <v>577</v>
      </c>
      <c r="C216" s="6" t="s">
        <v>580</v>
      </c>
      <c r="D216" s="7" t="s">
        <v>7</v>
      </c>
      <c r="F216">
        <v>4779174699</v>
      </c>
      <c r="G216" s="1" t="s">
        <v>1003</v>
      </c>
      <c r="H216" s="1" t="s">
        <v>1296</v>
      </c>
      <c r="I216" s="1" t="s">
        <v>1087</v>
      </c>
      <c r="J216">
        <v>2608</v>
      </c>
    </row>
    <row r="217" spans="1:10" x14ac:dyDescent="0.25">
      <c r="A217" s="2" t="s">
        <v>581</v>
      </c>
      <c r="B217" s="3" t="s">
        <v>582</v>
      </c>
      <c r="C217" s="3" t="s">
        <v>583</v>
      </c>
      <c r="D217" s="4" t="s">
        <v>7</v>
      </c>
      <c r="F217">
        <v>3678947206</v>
      </c>
      <c r="G217" s="1" t="s">
        <v>527</v>
      </c>
      <c r="H217" s="1" t="s">
        <v>1297</v>
      </c>
      <c r="I217" s="1" t="s">
        <v>1087</v>
      </c>
      <c r="J217">
        <v>2154</v>
      </c>
    </row>
    <row r="218" spans="1:10" x14ac:dyDescent="0.25">
      <c r="A218" s="5" t="s">
        <v>584</v>
      </c>
      <c r="B218" s="6" t="s">
        <v>585</v>
      </c>
      <c r="C218" s="6" t="s">
        <v>586</v>
      </c>
      <c r="D218" s="7" t="s">
        <v>7</v>
      </c>
      <c r="F218">
        <v>1939065269</v>
      </c>
      <c r="G218" s="1" t="s">
        <v>636</v>
      </c>
      <c r="H218" s="1" t="s">
        <v>1298</v>
      </c>
      <c r="I218" s="1" t="s">
        <v>1081</v>
      </c>
      <c r="J218">
        <v>2328</v>
      </c>
    </row>
    <row r="219" spans="1:10" x14ac:dyDescent="0.25">
      <c r="A219" s="2" t="s">
        <v>587</v>
      </c>
      <c r="B219" s="3" t="s">
        <v>588</v>
      </c>
      <c r="C219" s="3" t="s">
        <v>589</v>
      </c>
      <c r="D219" s="4" t="s">
        <v>7</v>
      </c>
      <c r="F219">
        <v>5514533376</v>
      </c>
      <c r="G219" s="1" t="s">
        <v>255</v>
      </c>
      <c r="H219" s="1" t="s">
        <v>1299</v>
      </c>
      <c r="I219" s="1" t="s">
        <v>1081</v>
      </c>
      <c r="J219">
        <v>2548</v>
      </c>
    </row>
    <row r="220" spans="1:10" x14ac:dyDescent="0.25">
      <c r="A220" s="5" t="s">
        <v>590</v>
      </c>
      <c r="B220" s="6" t="s">
        <v>591</v>
      </c>
      <c r="C220" s="6" t="s">
        <v>592</v>
      </c>
      <c r="D220" s="7" t="s">
        <v>7</v>
      </c>
      <c r="F220">
        <v>5115061689</v>
      </c>
      <c r="G220" s="1" t="s">
        <v>704</v>
      </c>
      <c r="H220" s="1" t="s">
        <v>1300</v>
      </c>
      <c r="I220" s="1" t="s">
        <v>1087</v>
      </c>
      <c r="J220">
        <v>1902</v>
      </c>
    </row>
    <row r="221" spans="1:10" x14ac:dyDescent="0.25">
      <c r="A221" s="2" t="s">
        <v>593</v>
      </c>
      <c r="B221" s="3" t="s">
        <v>594</v>
      </c>
      <c r="C221" s="3" t="s">
        <v>595</v>
      </c>
      <c r="D221" s="4" t="s">
        <v>7</v>
      </c>
      <c r="F221">
        <v>4326751508</v>
      </c>
      <c r="G221" s="1" t="s">
        <v>255</v>
      </c>
      <c r="H221" s="1" t="s">
        <v>1301</v>
      </c>
      <c r="I221" s="1" t="s">
        <v>1081</v>
      </c>
      <c r="J221">
        <v>2456</v>
      </c>
    </row>
    <row r="222" spans="1:10" x14ac:dyDescent="0.25">
      <c r="A222" s="5" t="s">
        <v>596</v>
      </c>
      <c r="B222" s="6" t="s">
        <v>597</v>
      </c>
      <c r="C222" s="6" t="s">
        <v>598</v>
      </c>
      <c r="D222" s="7" t="s">
        <v>7</v>
      </c>
      <c r="F222">
        <v>1278408463</v>
      </c>
      <c r="G222" s="1" t="s">
        <v>312</v>
      </c>
      <c r="H222" s="1" t="s">
        <v>1302</v>
      </c>
      <c r="I222" s="1" t="s">
        <v>1087</v>
      </c>
      <c r="J222">
        <v>2544</v>
      </c>
    </row>
    <row r="223" spans="1:10" x14ac:dyDescent="0.25">
      <c r="A223" s="2" t="s">
        <v>599</v>
      </c>
      <c r="B223" s="3" t="s">
        <v>600</v>
      </c>
      <c r="C223" s="3" t="s">
        <v>601</v>
      </c>
      <c r="D223" s="4" t="s">
        <v>7</v>
      </c>
      <c r="F223">
        <v>5528435390</v>
      </c>
      <c r="G223" s="1" t="s">
        <v>777</v>
      </c>
      <c r="H223" s="1" t="s">
        <v>1303</v>
      </c>
      <c r="I223" s="1" t="s">
        <v>1081</v>
      </c>
      <c r="J223">
        <v>3495</v>
      </c>
    </row>
    <row r="224" spans="1:10" x14ac:dyDescent="0.25">
      <c r="A224" s="5" t="s">
        <v>602</v>
      </c>
      <c r="B224" s="6" t="s">
        <v>603</v>
      </c>
      <c r="C224" s="6" t="s">
        <v>603</v>
      </c>
      <c r="D224" s="7" t="s">
        <v>22</v>
      </c>
      <c r="F224">
        <v>2138598159</v>
      </c>
      <c r="G224" s="1" t="s">
        <v>143</v>
      </c>
      <c r="H224" s="1" t="s">
        <v>1304</v>
      </c>
      <c r="I224" s="1" t="s">
        <v>1081</v>
      </c>
      <c r="J224">
        <v>2550</v>
      </c>
    </row>
    <row r="225" spans="1:10" x14ac:dyDescent="0.25">
      <c r="A225" s="2" t="s">
        <v>604</v>
      </c>
      <c r="B225" s="3" t="s">
        <v>605</v>
      </c>
      <c r="C225" s="3" t="s">
        <v>606</v>
      </c>
      <c r="D225" s="4" t="s">
        <v>7</v>
      </c>
      <c r="F225">
        <v>1599095267</v>
      </c>
      <c r="G225" s="1" t="s">
        <v>777</v>
      </c>
      <c r="H225" s="1" t="s">
        <v>1305</v>
      </c>
      <c r="I225" s="1" t="s">
        <v>1087</v>
      </c>
      <c r="J225">
        <v>2448</v>
      </c>
    </row>
    <row r="226" spans="1:10" x14ac:dyDescent="0.25">
      <c r="A226" s="5" t="s">
        <v>607</v>
      </c>
      <c r="B226" s="6" t="s">
        <v>608</v>
      </c>
      <c r="C226" s="6" t="s">
        <v>609</v>
      </c>
      <c r="D226" s="7" t="s">
        <v>7</v>
      </c>
      <c r="F226">
        <v>5341884086</v>
      </c>
      <c r="G226" s="1" t="s">
        <v>777</v>
      </c>
      <c r="H226" s="1" t="s">
        <v>1306</v>
      </c>
      <c r="I226" s="1" t="s">
        <v>1081</v>
      </c>
      <c r="J226">
        <v>3645</v>
      </c>
    </row>
    <row r="227" spans="1:10" x14ac:dyDescent="0.25">
      <c r="A227" s="2" t="s">
        <v>610</v>
      </c>
      <c r="B227" s="3" t="s">
        <v>611</v>
      </c>
      <c r="C227" s="3" t="s">
        <v>611</v>
      </c>
      <c r="D227" s="4" t="s">
        <v>22</v>
      </c>
      <c r="F227">
        <v>1433397952</v>
      </c>
      <c r="G227" s="1" t="s">
        <v>314</v>
      </c>
      <c r="H227" s="1" t="s">
        <v>1307</v>
      </c>
      <c r="I227" s="1" t="s">
        <v>1087</v>
      </c>
      <c r="J227">
        <v>2935</v>
      </c>
    </row>
    <row r="228" spans="1:10" x14ac:dyDescent="0.25">
      <c r="A228" s="5" t="s">
        <v>612</v>
      </c>
      <c r="B228" s="6" t="s">
        <v>613</v>
      </c>
      <c r="C228" s="6" t="s">
        <v>611</v>
      </c>
      <c r="D228" s="7" t="s">
        <v>7</v>
      </c>
      <c r="F228">
        <v>2138598159</v>
      </c>
      <c r="G228" s="1" t="s">
        <v>143</v>
      </c>
      <c r="H228" s="1" t="s">
        <v>1308</v>
      </c>
      <c r="I228" s="1" t="s">
        <v>1087</v>
      </c>
      <c r="J228">
        <v>2834</v>
      </c>
    </row>
    <row r="229" spans="1:10" x14ac:dyDescent="0.25">
      <c r="A229" s="2" t="s">
        <v>614</v>
      </c>
      <c r="B229" s="3" t="s">
        <v>615</v>
      </c>
      <c r="C229" s="3" t="s">
        <v>616</v>
      </c>
      <c r="D229" s="4" t="s">
        <v>7</v>
      </c>
      <c r="F229">
        <v>2625657803</v>
      </c>
      <c r="G229" s="1" t="s">
        <v>777</v>
      </c>
      <c r="H229" s="1" t="s">
        <v>1309</v>
      </c>
      <c r="I229" s="1" t="s">
        <v>1087</v>
      </c>
      <c r="J229">
        <v>1624</v>
      </c>
    </row>
    <row r="230" spans="1:10" x14ac:dyDescent="0.25">
      <c r="A230" s="5" t="s">
        <v>617</v>
      </c>
      <c r="B230" s="6" t="s">
        <v>618</v>
      </c>
      <c r="C230" s="6" t="s">
        <v>619</v>
      </c>
      <c r="D230" s="7" t="s">
        <v>7</v>
      </c>
      <c r="F230">
        <v>1939065269</v>
      </c>
      <c r="G230" s="1" t="s">
        <v>636</v>
      </c>
      <c r="H230" s="1" t="s">
        <v>1310</v>
      </c>
      <c r="I230" s="1" t="s">
        <v>1081</v>
      </c>
      <c r="J230">
        <v>2574</v>
      </c>
    </row>
    <row r="231" spans="1:10" x14ac:dyDescent="0.25">
      <c r="A231" s="2" t="s">
        <v>620</v>
      </c>
      <c r="B231" s="3" t="s">
        <v>621</v>
      </c>
      <c r="C231" s="3" t="s">
        <v>621</v>
      </c>
      <c r="D231" s="4" t="s">
        <v>22</v>
      </c>
      <c r="F231">
        <v>4326751508</v>
      </c>
      <c r="G231" s="1" t="s">
        <v>255</v>
      </c>
      <c r="H231" s="1" t="s">
        <v>1311</v>
      </c>
      <c r="I231" s="1" t="s">
        <v>1087</v>
      </c>
      <c r="J231">
        <v>1806</v>
      </c>
    </row>
    <row r="232" spans="1:10" x14ac:dyDescent="0.25">
      <c r="A232" s="5" t="s">
        <v>622</v>
      </c>
      <c r="B232" s="6" t="s">
        <v>623</v>
      </c>
      <c r="C232" s="6" t="s">
        <v>621</v>
      </c>
      <c r="D232" s="7" t="s">
        <v>7</v>
      </c>
      <c r="F232">
        <v>2138598159</v>
      </c>
      <c r="G232" s="1" t="s">
        <v>143</v>
      </c>
      <c r="H232" s="1" t="s">
        <v>1312</v>
      </c>
      <c r="I232" s="1" t="s">
        <v>1087</v>
      </c>
      <c r="J232">
        <v>3204</v>
      </c>
    </row>
    <row r="233" spans="1:10" x14ac:dyDescent="0.25">
      <c r="A233" s="2" t="s">
        <v>624</v>
      </c>
      <c r="B233" s="3" t="s">
        <v>625</v>
      </c>
      <c r="C233" s="3" t="s">
        <v>626</v>
      </c>
      <c r="D233" s="4" t="s">
        <v>7</v>
      </c>
      <c r="F233">
        <v>4779174699</v>
      </c>
      <c r="G233" s="1" t="s">
        <v>1003</v>
      </c>
      <c r="H233" s="1" t="s">
        <v>1313</v>
      </c>
      <c r="I233" s="1" t="s">
        <v>1087</v>
      </c>
      <c r="J233">
        <v>1618</v>
      </c>
    </row>
    <row r="234" spans="1:10" x14ac:dyDescent="0.25">
      <c r="A234" s="5" t="s">
        <v>627</v>
      </c>
      <c r="B234" s="6" t="s">
        <v>628</v>
      </c>
      <c r="C234" s="6" t="s">
        <v>629</v>
      </c>
      <c r="D234" s="7" t="s">
        <v>7</v>
      </c>
      <c r="F234">
        <v>3568004264</v>
      </c>
      <c r="G234" s="1" t="s">
        <v>428</v>
      </c>
      <c r="H234" s="1" t="s">
        <v>1314</v>
      </c>
      <c r="I234" s="1" t="s">
        <v>1087</v>
      </c>
      <c r="J234">
        <v>2720</v>
      </c>
    </row>
    <row r="235" spans="1:10" x14ac:dyDescent="0.25">
      <c r="A235" s="2" t="s">
        <v>630</v>
      </c>
      <c r="B235" s="3" t="s">
        <v>631</v>
      </c>
      <c r="C235" s="3" t="s">
        <v>632</v>
      </c>
      <c r="D235" s="4" t="s">
        <v>7</v>
      </c>
      <c r="F235">
        <v>5115061689</v>
      </c>
      <c r="G235" s="1" t="s">
        <v>704</v>
      </c>
      <c r="H235" s="1" t="s">
        <v>1315</v>
      </c>
      <c r="I235" s="1" t="s">
        <v>1087</v>
      </c>
      <c r="J235">
        <v>3192</v>
      </c>
    </row>
    <row r="236" spans="1:10" x14ac:dyDescent="0.25">
      <c r="A236" s="5" t="s">
        <v>633</v>
      </c>
      <c r="B236" s="6" t="s">
        <v>634</v>
      </c>
      <c r="C236" s="6" t="s">
        <v>635</v>
      </c>
      <c r="D236" s="7" t="s">
        <v>7</v>
      </c>
      <c r="F236">
        <v>1361555378</v>
      </c>
      <c r="G236" s="1" t="s">
        <v>1022</v>
      </c>
      <c r="H236" s="1" t="s">
        <v>1316</v>
      </c>
      <c r="I236" s="1" t="s">
        <v>1087</v>
      </c>
      <c r="J236">
        <v>2559</v>
      </c>
    </row>
    <row r="237" spans="1:10" x14ac:dyDescent="0.25">
      <c r="A237" s="2" t="s">
        <v>636</v>
      </c>
      <c r="B237" s="3" t="s">
        <v>637</v>
      </c>
      <c r="C237" s="3" t="s">
        <v>637</v>
      </c>
      <c r="D237" s="4" t="s">
        <v>22</v>
      </c>
      <c r="F237">
        <v>3866883575</v>
      </c>
      <c r="G237" s="1" t="s">
        <v>434</v>
      </c>
      <c r="H237" s="1" t="s">
        <v>1317</v>
      </c>
      <c r="I237" s="1" t="s">
        <v>1081</v>
      </c>
      <c r="J237">
        <v>2145</v>
      </c>
    </row>
    <row r="238" spans="1:10" x14ac:dyDescent="0.25">
      <c r="A238" s="5" t="s">
        <v>638</v>
      </c>
      <c r="B238" s="6" t="s">
        <v>639</v>
      </c>
      <c r="C238" s="6" t="s">
        <v>637</v>
      </c>
      <c r="D238" s="7" t="s">
        <v>7</v>
      </c>
      <c r="F238">
        <v>4761158900</v>
      </c>
      <c r="G238" s="1" t="s">
        <v>294</v>
      </c>
      <c r="H238" s="1" t="s">
        <v>1318</v>
      </c>
      <c r="I238" s="1" t="s">
        <v>1081</v>
      </c>
      <c r="J238">
        <v>2674</v>
      </c>
    </row>
    <row r="239" spans="1:10" x14ac:dyDescent="0.25">
      <c r="A239" s="2" t="s">
        <v>640</v>
      </c>
      <c r="B239" s="3" t="s">
        <v>641</v>
      </c>
      <c r="C239" s="3" t="s">
        <v>642</v>
      </c>
      <c r="D239" s="4" t="s">
        <v>7</v>
      </c>
      <c r="F239">
        <v>4779174699</v>
      </c>
      <c r="G239" s="1" t="s">
        <v>1003</v>
      </c>
      <c r="H239" s="1" t="s">
        <v>1319</v>
      </c>
      <c r="I239" s="1" t="s">
        <v>1081</v>
      </c>
      <c r="J239">
        <v>2192</v>
      </c>
    </row>
    <row r="240" spans="1:10" x14ac:dyDescent="0.25">
      <c r="A240" s="5" t="s">
        <v>643</v>
      </c>
      <c r="B240" s="6" t="s">
        <v>644</v>
      </c>
      <c r="C240" s="6" t="s">
        <v>645</v>
      </c>
      <c r="D240" s="7" t="s">
        <v>7</v>
      </c>
      <c r="F240">
        <v>6727559092</v>
      </c>
      <c r="G240" s="1" t="s">
        <v>562</v>
      </c>
      <c r="H240" s="1" t="s">
        <v>1320</v>
      </c>
      <c r="I240" s="1" t="s">
        <v>1081</v>
      </c>
      <c r="J240">
        <v>2480</v>
      </c>
    </row>
    <row r="241" spans="1:10" x14ac:dyDescent="0.25">
      <c r="A241" s="2" t="s">
        <v>646</v>
      </c>
      <c r="B241" s="3" t="s">
        <v>647</v>
      </c>
      <c r="C241" s="3" t="s">
        <v>648</v>
      </c>
      <c r="D241" s="4" t="s">
        <v>7</v>
      </c>
      <c r="F241">
        <v>4761158900</v>
      </c>
      <c r="G241" s="1" t="s">
        <v>29</v>
      </c>
      <c r="H241" s="1" t="s">
        <v>1321</v>
      </c>
      <c r="I241" s="1" t="s">
        <v>1087</v>
      </c>
      <c r="J241">
        <v>2578</v>
      </c>
    </row>
    <row r="242" spans="1:10" x14ac:dyDescent="0.25">
      <c r="A242" s="5" t="s">
        <v>649</v>
      </c>
      <c r="B242" s="6" t="s">
        <v>650</v>
      </c>
      <c r="C242" s="6" t="s">
        <v>651</v>
      </c>
      <c r="D242" s="7" t="s">
        <v>7</v>
      </c>
      <c r="F242">
        <v>4761158900</v>
      </c>
      <c r="G242" s="1" t="s">
        <v>29</v>
      </c>
      <c r="H242" s="1" t="s">
        <v>1322</v>
      </c>
      <c r="I242" s="1" t="s">
        <v>1087</v>
      </c>
      <c r="J242">
        <v>1774</v>
      </c>
    </row>
    <row r="243" spans="1:10" x14ac:dyDescent="0.25">
      <c r="A243" s="2" t="s">
        <v>652</v>
      </c>
      <c r="B243" s="3" t="s">
        <v>653</v>
      </c>
      <c r="C243" s="3" t="s">
        <v>654</v>
      </c>
      <c r="D243" s="4" t="s">
        <v>7</v>
      </c>
      <c r="F243">
        <v>2394072755</v>
      </c>
      <c r="G243" s="1" t="s">
        <v>1022</v>
      </c>
      <c r="H243" s="1" t="s">
        <v>1323</v>
      </c>
      <c r="I243" s="1" t="s">
        <v>1087</v>
      </c>
      <c r="J243">
        <v>750</v>
      </c>
    </row>
    <row r="244" spans="1:10" x14ac:dyDescent="0.25">
      <c r="A244" s="5" t="s">
        <v>655</v>
      </c>
      <c r="B244" s="6" t="s">
        <v>654</v>
      </c>
      <c r="C244" s="6" t="s">
        <v>654</v>
      </c>
      <c r="D244" s="7" t="s">
        <v>22</v>
      </c>
      <c r="F244">
        <v>1939065269</v>
      </c>
      <c r="G244" s="1" t="s">
        <v>636</v>
      </c>
      <c r="H244" s="1" t="s">
        <v>1324</v>
      </c>
      <c r="I244" s="1" t="s">
        <v>1081</v>
      </c>
      <c r="J244">
        <v>2562</v>
      </c>
    </row>
    <row r="245" spans="1:10" x14ac:dyDescent="0.25">
      <c r="A245" s="2" t="s">
        <v>656</v>
      </c>
      <c r="B245" s="3" t="s">
        <v>657</v>
      </c>
      <c r="C245" s="3" t="s">
        <v>658</v>
      </c>
      <c r="D245" s="4" t="s">
        <v>7</v>
      </c>
      <c r="F245">
        <v>3114182744</v>
      </c>
      <c r="G245" s="1" t="s">
        <v>1022</v>
      </c>
      <c r="H245" s="1" t="s">
        <v>1325</v>
      </c>
      <c r="I245" s="1" t="s">
        <v>1081</v>
      </c>
      <c r="J245">
        <v>1959</v>
      </c>
    </row>
    <row r="246" spans="1:10" x14ac:dyDescent="0.25">
      <c r="A246" s="5" t="s">
        <v>659</v>
      </c>
      <c r="B246" s="6" t="s">
        <v>660</v>
      </c>
      <c r="C246" s="6" t="s">
        <v>661</v>
      </c>
      <c r="D246" s="7" t="s">
        <v>7</v>
      </c>
      <c r="F246">
        <v>4326751508</v>
      </c>
      <c r="G246" s="1" t="s">
        <v>405</v>
      </c>
      <c r="H246" s="1" t="s">
        <v>1326</v>
      </c>
      <c r="I246" s="1" t="s">
        <v>1081</v>
      </c>
      <c r="J246">
        <v>2624</v>
      </c>
    </row>
    <row r="247" spans="1:10" x14ac:dyDescent="0.25">
      <c r="A247" s="2" t="s">
        <v>662</v>
      </c>
      <c r="B247" s="3" t="s">
        <v>663</v>
      </c>
      <c r="C247" s="3" t="s">
        <v>664</v>
      </c>
      <c r="D247" s="4" t="s">
        <v>7</v>
      </c>
      <c r="F247">
        <v>4326751508</v>
      </c>
      <c r="G247" s="1" t="s">
        <v>255</v>
      </c>
      <c r="H247" s="1" t="s">
        <v>1327</v>
      </c>
      <c r="I247" s="1" t="s">
        <v>1087</v>
      </c>
      <c r="J247">
        <v>2760</v>
      </c>
    </row>
    <row r="248" spans="1:10" x14ac:dyDescent="0.25">
      <c r="A248" s="5" t="s">
        <v>665</v>
      </c>
      <c r="B248" s="6" t="s">
        <v>666</v>
      </c>
      <c r="C248" s="6" t="s">
        <v>667</v>
      </c>
      <c r="D248" s="7" t="s">
        <v>7</v>
      </c>
      <c r="F248">
        <v>3568004264</v>
      </c>
      <c r="G248" s="1" t="s">
        <v>428</v>
      </c>
      <c r="H248" s="1" t="s">
        <v>1328</v>
      </c>
      <c r="I248" s="1" t="s">
        <v>1081</v>
      </c>
      <c r="J248">
        <v>2404</v>
      </c>
    </row>
    <row r="249" spans="1:10" x14ac:dyDescent="0.25">
      <c r="A249" s="2" t="s">
        <v>668</v>
      </c>
      <c r="B249" s="3" t="s">
        <v>669</v>
      </c>
      <c r="C249" s="3" t="s">
        <v>670</v>
      </c>
      <c r="D249" s="4" t="s">
        <v>7</v>
      </c>
      <c r="F249">
        <v>1278408463</v>
      </c>
      <c r="G249" s="1" t="s">
        <v>314</v>
      </c>
      <c r="H249" s="1" t="s">
        <v>1329</v>
      </c>
      <c r="I249" s="1" t="s">
        <v>1081</v>
      </c>
      <c r="J249">
        <v>2328</v>
      </c>
    </row>
    <row r="250" spans="1:10" x14ac:dyDescent="0.25">
      <c r="A250" s="5" t="s">
        <v>671</v>
      </c>
      <c r="B250" s="6" t="s">
        <v>672</v>
      </c>
      <c r="C250" s="6" t="s">
        <v>673</v>
      </c>
      <c r="D250" s="7" t="s">
        <v>7</v>
      </c>
      <c r="F250">
        <v>5185759244</v>
      </c>
      <c r="G250" s="1" t="s">
        <v>1022</v>
      </c>
      <c r="H250" s="1" t="s">
        <v>1330</v>
      </c>
      <c r="I250" s="1" t="s">
        <v>1087</v>
      </c>
      <c r="J250">
        <v>2610</v>
      </c>
    </row>
    <row r="251" spans="1:10" x14ac:dyDescent="0.25">
      <c r="A251" s="2" t="s">
        <v>674</v>
      </c>
      <c r="B251" s="3" t="s">
        <v>675</v>
      </c>
      <c r="C251" s="3" t="s">
        <v>676</v>
      </c>
      <c r="D251" s="4" t="s">
        <v>7</v>
      </c>
      <c r="F251">
        <v>4761158900</v>
      </c>
      <c r="G251" s="1" t="s">
        <v>29</v>
      </c>
      <c r="H251" s="1" t="s">
        <v>1331</v>
      </c>
      <c r="I251" s="1" t="s">
        <v>1081</v>
      </c>
      <c r="J251">
        <v>2010</v>
      </c>
    </row>
    <row r="252" spans="1:10" x14ac:dyDescent="0.25">
      <c r="A252" s="5" t="s">
        <v>677</v>
      </c>
      <c r="B252" s="6" t="s">
        <v>678</v>
      </c>
      <c r="C252" s="6" t="s">
        <v>679</v>
      </c>
      <c r="D252" s="7" t="s">
        <v>7</v>
      </c>
      <c r="F252">
        <v>4326751508</v>
      </c>
      <c r="G252" s="1" t="s">
        <v>386</v>
      </c>
      <c r="H252" s="1" t="s">
        <v>1332</v>
      </c>
      <c r="I252" s="1" t="s">
        <v>1081</v>
      </c>
      <c r="J252">
        <v>2196</v>
      </c>
    </row>
    <row r="253" spans="1:10" x14ac:dyDescent="0.25">
      <c r="A253" s="2" t="s">
        <v>680</v>
      </c>
      <c r="B253" s="3" t="s">
        <v>681</v>
      </c>
      <c r="C253" s="3" t="s">
        <v>681</v>
      </c>
      <c r="D253" s="4" t="s">
        <v>22</v>
      </c>
      <c r="F253">
        <v>6758177505</v>
      </c>
      <c r="G253" s="1" t="s">
        <v>562</v>
      </c>
      <c r="H253" s="1" t="s">
        <v>1333</v>
      </c>
      <c r="I253" s="1" t="s">
        <v>1087</v>
      </c>
      <c r="J253">
        <v>2095</v>
      </c>
    </row>
    <row r="254" spans="1:10" x14ac:dyDescent="0.25">
      <c r="A254" s="5" t="s">
        <v>682</v>
      </c>
      <c r="B254" s="6" t="s">
        <v>683</v>
      </c>
      <c r="C254" s="6" t="s">
        <v>681</v>
      </c>
      <c r="D254" s="7" t="s">
        <v>7</v>
      </c>
      <c r="F254">
        <v>1617995032</v>
      </c>
      <c r="G254" s="1" t="s">
        <v>892</v>
      </c>
      <c r="H254" s="1" t="s">
        <v>1334</v>
      </c>
      <c r="I254" s="1" t="s">
        <v>1081</v>
      </c>
      <c r="J254">
        <v>1899</v>
      </c>
    </row>
    <row r="255" spans="1:10" x14ac:dyDescent="0.25">
      <c r="A255" s="2" t="s">
        <v>684</v>
      </c>
      <c r="B255" s="3" t="s">
        <v>685</v>
      </c>
      <c r="C255" s="3" t="s">
        <v>686</v>
      </c>
      <c r="D255" s="4" t="s">
        <v>7</v>
      </c>
      <c r="F255">
        <v>1433397952</v>
      </c>
      <c r="G255" s="1" t="s">
        <v>314</v>
      </c>
      <c r="H255" s="1" t="s">
        <v>1335</v>
      </c>
      <c r="I255" s="1" t="s">
        <v>1087</v>
      </c>
      <c r="J255">
        <v>2180</v>
      </c>
    </row>
    <row r="256" spans="1:10" x14ac:dyDescent="0.25">
      <c r="A256" s="5" t="s">
        <v>687</v>
      </c>
      <c r="B256" s="6" t="s">
        <v>688</v>
      </c>
      <c r="C256" s="6" t="s">
        <v>689</v>
      </c>
      <c r="D256" s="7" t="s">
        <v>7</v>
      </c>
      <c r="F256">
        <v>5115061689</v>
      </c>
      <c r="G256" s="1" t="s">
        <v>704</v>
      </c>
      <c r="H256" s="1" t="s">
        <v>1336</v>
      </c>
      <c r="I256" s="1" t="s">
        <v>1087</v>
      </c>
      <c r="J256">
        <v>1864</v>
      </c>
    </row>
    <row r="257" spans="1:10" x14ac:dyDescent="0.25">
      <c r="A257" s="2" t="s">
        <v>690</v>
      </c>
      <c r="B257" s="3" t="s">
        <v>691</v>
      </c>
      <c r="C257" s="3" t="s">
        <v>692</v>
      </c>
      <c r="D257" s="4" t="s">
        <v>7</v>
      </c>
      <c r="F257">
        <v>4761158900</v>
      </c>
      <c r="G257" s="1" t="s">
        <v>29</v>
      </c>
      <c r="H257" s="1" t="s">
        <v>1337</v>
      </c>
      <c r="I257" s="1" t="s">
        <v>1087</v>
      </c>
      <c r="J257">
        <v>2172</v>
      </c>
    </row>
    <row r="258" spans="1:10" x14ac:dyDescent="0.25">
      <c r="A258" s="5" t="s">
        <v>693</v>
      </c>
      <c r="B258" s="6" t="s">
        <v>694</v>
      </c>
      <c r="C258" s="6" t="s">
        <v>695</v>
      </c>
      <c r="D258" s="7" t="s">
        <v>7</v>
      </c>
      <c r="F258">
        <v>4761158900</v>
      </c>
      <c r="G258" s="1" t="s">
        <v>29</v>
      </c>
      <c r="H258" s="1" t="s">
        <v>1338</v>
      </c>
      <c r="I258" s="1" t="s">
        <v>1081</v>
      </c>
      <c r="J258">
        <v>1950</v>
      </c>
    </row>
    <row r="259" spans="1:10" x14ac:dyDescent="0.25">
      <c r="A259" s="2" t="s">
        <v>696</v>
      </c>
      <c r="B259" s="3" t="s">
        <v>697</v>
      </c>
      <c r="C259" s="3" t="s">
        <v>698</v>
      </c>
      <c r="D259" s="4" t="s">
        <v>7</v>
      </c>
      <c r="F259">
        <v>2119268767</v>
      </c>
      <c r="G259" s="1" t="s">
        <v>141</v>
      </c>
      <c r="H259" s="1" t="s">
        <v>1339</v>
      </c>
      <c r="I259" s="1" t="s">
        <v>1087</v>
      </c>
      <c r="J259">
        <v>2115</v>
      </c>
    </row>
    <row r="260" spans="1:10" x14ac:dyDescent="0.25">
      <c r="A260" s="5" t="s">
        <v>699</v>
      </c>
      <c r="B260" s="6" t="s">
        <v>700</v>
      </c>
      <c r="C260" s="6" t="s">
        <v>701</v>
      </c>
      <c r="D260" s="7" t="s">
        <v>7</v>
      </c>
      <c r="F260">
        <v>3866883575</v>
      </c>
      <c r="G260" s="1" t="s">
        <v>434</v>
      </c>
      <c r="H260" s="1" t="s">
        <v>1340</v>
      </c>
      <c r="I260" s="1" t="s">
        <v>1087</v>
      </c>
      <c r="J260">
        <v>2457</v>
      </c>
    </row>
    <row r="261" spans="1:10" x14ac:dyDescent="0.25">
      <c r="A261" s="2" t="s">
        <v>702</v>
      </c>
      <c r="B261" s="3" t="s">
        <v>703</v>
      </c>
      <c r="C261" s="3" t="s">
        <v>703</v>
      </c>
      <c r="D261" s="4" t="s">
        <v>22</v>
      </c>
      <c r="F261">
        <v>2394072755</v>
      </c>
      <c r="G261" s="1" t="s">
        <v>1022</v>
      </c>
      <c r="H261" s="1" t="s">
        <v>1341</v>
      </c>
      <c r="I261" s="1" t="s">
        <v>1087</v>
      </c>
      <c r="J261">
        <v>2792</v>
      </c>
    </row>
    <row r="262" spans="1:10" x14ac:dyDescent="0.25">
      <c r="A262" s="5" t="s">
        <v>704</v>
      </c>
      <c r="B262" s="6" t="s">
        <v>703</v>
      </c>
      <c r="C262" s="6" t="s">
        <v>703</v>
      </c>
      <c r="D262" s="7" t="s">
        <v>22</v>
      </c>
      <c r="F262">
        <v>6758177505</v>
      </c>
      <c r="G262" s="1" t="s">
        <v>562</v>
      </c>
      <c r="H262" s="1" t="s">
        <v>1342</v>
      </c>
      <c r="I262" s="1" t="s">
        <v>1087</v>
      </c>
      <c r="J262">
        <v>2915</v>
      </c>
    </row>
    <row r="263" spans="1:10" x14ac:dyDescent="0.25">
      <c r="A263" s="2" t="s">
        <v>705</v>
      </c>
      <c r="B263" s="3" t="s">
        <v>706</v>
      </c>
      <c r="C263" s="3" t="s">
        <v>707</v>
      </c>
      <c r="D263" s="4" t="s">
        <v>7</v>
      </c>
      <c r="F263">
        <v>4326751508</v>
      </c>
      <c r="G263" s="1" t="s">
        <v>386</v>
      </c>
      <c r="H263" s="1" t="s">
        <v>1343</v>
      </c>
      <c r="I263" s="1" t="s">
        <v>1081</v>
      </c>
      <c r="J263">
        <v>1515</v>
      </c>
    </row>
    <row r="264" spans="1:10" x14ac:dyDescent="0.25">
      <c r="A264" s="5" t="s">
        <v>708</v>
      </c>
      <c r="B264" s="6" t="s">
        <v>707</v>
      </c>
      <c r="C264" s="6" t="s">
        <v>707</v>
      </c>
      <c r="D264" s="7" t="s">
        <v>22</v>
      </c>
      <c r="F264">
        <v>2394072755</v>
      </c>
      <c r="G264" s="1" t="s">
        <v>1022</v>
      </c>
      <c r="H264" s="1" t="s">
        <v>1344</v>
      </c>
      <c r="I264" s="1" t="s">
        <v>1087</v>
      </c>
      <c r="J264">
        <v>2330</v>
      </c>
    </row>
    <row r="265" spans="1:10" x14ac:dyDescent="0.25">
      <c r="A265" s="2" t="s">
        <v>709</v>
      </c>
      <c r="B265" s="3" t="s">
        <v>710</v>
      </c>
      <c r="C265" s="3" t="s">
        <v>711</v>
      </c>
      <c r="D265" s="4" t="s">
        <v>7</v>
      </c>
      <c r="F265">
        <v>4326751508</v>
      </c>
      <c r="G265" s="1" t="s">
        <v>386</v>
      </c>
      <c r="H265" s="1" t="s">
        <v>1345</v>
      </c>
      <c r="I265" s="1" t="s">
        <v>1081</v>
      </c>
      <c r="J265">
        <v>2245</v>
      </c>
    </row>
    <row r="266" spans="1:10" x14ac:dyDescent="0.25">
      <c r="A266" s="5" t="s">
        <v>712</v>
      </c>
      <c r="B266" s="6" t="s">
        <v>713</v>
      </c>
      <c r="C266" s="6" t="s">
        <v>714</v>
      </c>
      <c r="D266" s="7" t="s">
        <v>7</v>
      </c>
      <c r="F266">
        <v>5341884086</v>
      </c>
      <c r="G266" s="1" t="s">
        <v>1022</v>
      </c>
      <c r="H266" s="1" t="s">
        <v>1346</v>
      </c>
      <c r="I266" s="1" t="s">
        <v>1081</v>
      </c>
      <c r="J266">
        <v>2880</v>
      </c>
    </row>
    <row r="267" spans="1:10" x14ac:dyDescent="0.25">
      <c r="A267" s="2" t="s">
        <v>715</v>
      </c>
      <c r="B267" s="3" t="s">
        <v>716</v>
      </c>
      <c r="C267" s="3" t="s">
        <v>716</v>
      </c>
      <c r="D267" s="4" t="s">
        <v>22</v>
      </c>
      <c r="F267">
        <v>1581329071</v>
      </c>
      <c r="G267" s="1" t="s">
        <v>1022</v>
      </c>
      <c r="H267" s="1" t="s">
        <v>1347</v>
      </c>
      <c r="I267" s="1" t="s">
        <v>1081</v>
      </c>
      <c r="J267">
        <v>2270</v>
      </c>
    </row>
    <row r="268" spans="1:10" x14ac:dyDescent="0.25">
      <c r="A268" s="5" t="s">
        <v>717</v>
      </c>
      <c r="B268" s="6" t="s">
        <v>718</v>
      </c>
      <c r="C268" s="6" t="s">
        <v>716</v>
      </c>
      <c r="D268" s="7" t="s">
        <v>7</v>
      </c>
      <c r="F268">
        <v>5341884086</v>
      </c>
      <c r="G268" s="1" t="s">
        <v>1022</v>
      </c>
      <c r="H268" s="1" t="s">
        <v>1348</v>
      </c>
      <c r="I268" s="1" t="s">
        <v>1081</v>
      </c>
      <c r="J268">
        <v>2748</v>
      </c>
    </row>
    <row r="269" spans="1:10" x14ac:dyDescent="0.25">
      <c r="A269" s="2" t="s">
        <v>719</v>
      </c>
      <c r="B269" s="3" t="s">
        <v>720</v>
      </c>
      <c r="C269" s="3" t="s">
        <v>721</v>
      </c>
      <c r="D269" s="4" t="s">
        <v>7</v>
      </c>
      <c r="F269">
        <v>4241680809</v>
      </c>
      <c r="G269" s="1" t="s">
        <v>1022</v>
      </c>
      <c r="H269" s="1" t="s">
        <v>1349</v>
      </c>
      <c r="I269" s="1" t="s">
        <v>1087</v>
      </c>
      <c r="J269">
        <v>1995</v>
      </c>
    </row>
    <row r="270" spans="1:10" x14ac:dyDescent="0.25">
      <c r="A270" s="5" t="s">
        <v>722</v>
      </c>
      <c r="B270" s="6" t="s">
        <v>723</v>
      </c>
      <c r="C270" s="6" t="s">
        <v>724</v>
      </c>
      <c r="D270" s="7" t="s">
        <v>7</v>
      </c>
      <c r="F270">
        <v>5229945534</v>
      </c>
      <c r="G270" s="1" t="s">
        <v>1022</v>
      </c>
      <c r="H270" s="1" t="s">
        <v>1350</v>
      </c>
      <c r="I270" s="1" t="s">
        <v>1081</v>
      </c>
      <c r="J270">
        <v>3276</v>
      </c>
    </row>
    <row r="271" spans="1:10" x14ac:dyDescent="0.25">
      <c r="A271" s="2" t="s">
        <v>725</v>
      </c>
      <c r="B271" s="3" t="s">
        <v>726</v>
      </c>
      <c r="C271" s="3" t="s">
        <v>727</v>
      </c>
      <c r="D271" s="4" t="s">
        <v>7</v>
      </c>
      <c r="F271">
        <v>2281651150</v>
      </c>
      <c r="G271" s="1" t="s">
        <v>552</v>
      </c>
      <c r="H271" s="1" t="s">
        <v>1351</v>
      </c>
      <c r="I271" s="1" t="s">
        <v>1081</v>
      </c>
      <c r="J271">
        <v>1622</v>
      </c>
    </row>
    <row r="272" spans="1:10" x14ac:dyDescent="0.25">
      <c r="A272" s="5" t="s">
        <v>728</v>
      </c>
      <c r="B272" s="6" t="s">
        <v>729</v>
      </c>
      <c r="C272" s="6" t="s">
        <v>730</v>
      </c>
      <c r="D272" s="7" t="s">
        <v>7</v>
      </c>
      <c r="F272">
        <v>6727559092</v>
      </c>
      <c r="G272" s="1" t="s">
        <v>562</v>
      </c>
      <c r="H272" s="1" t="s">
        <v>1352</v>
      </c>
      <c r="I272" s="1" t="s">
        <v>1087</v>
      </c>
      <c r="J272">
        <v>2208</v>
      </c>
    </row>
    <row r="273" spans="1:10" x14ac:dyDescent="0.25">
      <c r="A273" s="2" t="s">
        <v>731</v>
      </c>
      <c r="B273" s="3" t="s">
        <v>732</v>
      </c>
      <c r="C273" s="3" t="s">
        <v>732</v>
      </c>
      <c r="D273" s="4" t="s">
        <v>22</v>
      </c>
      <c r="F273">
        <v>3678947206</v>
      </c>
      <c r="G273" s="1" t="s">
        <v>527</v>
      </c>
      <c r="H273" s="1" t="s">
        <v>1353</v>
      </c>
      <c r="I273" s="1" t="s">
        <v>1081</v>
      </c>
      <c r="J273">
        <v>2065</v>
      </c>
    </row>
    <row r="274" spans="1:10" x14ac:dyDescent="0.25">
      <c r="A274" s="5" t="s">
        <v>733</v>
      </c>
      <c r="B274" s="6" t="s">
        <v>734</v>
      </c>
      <c r="C274" s="6" t="s">
        <v>732</v>
      </c>
      <c r="D274" s="7" t="s">
        <v>7</v>
      </c>
      <c r="F274">
        <v>2119268767</v>
      </c>
      <c r="G274" s="1" t="s">
        <v>141</v>
      </c>
      <c r="H274" s="1" t="s">
        <v>1354</v>
      </c>
      <c r="I274" s="1" t="s">
        <v>1087</v>
      </c>
      <c r="J274">
        <v>1772</v>
      </c>
    </row>
    <row r="275" spans="1:10" x14ac:dyDescent="0.25">
      <c r="A275" s="2" t="s">
        <v>735</v>
      </c>
      <c r="B275" s="3" t="s">
        <v>736</v>
      </c>
      <c r="C275" s="3" t="s">
        <v>736</v>
      </c>
      <c r="D275" s="4" t="s">
        <v>22</v>
      </c>
      <c r="F275">
        <v>3568004264</v>
      </c>
      <c r="G275" s="1" t="s">
        <v>428</v>
      </c>
      <c r="H275" s="1" t="s">
        <v>1355</v>
      </c>
      <c r="I275" s="1" t="s">
        <v>1087</v>
      </c>
      <c r="J275">
        <v>2175</v>
      </c>
    </row>
    <row r="276" spans="1:10" x14ac:dyDescent="0.25">
      <c r="A276" s="5" t="s">
        <v>737</v>
      </c>
      <c r="B276" s="6" t="s">
        <v>738</v>
      </c>
      <c r="C276" s="6" t="s">
        <v>739</v>
      </c>
      <c r="D276" s="7" t="s">
        <v>7</v>
      </c>
      <c r="F276">
        <v>4326751508</v>
      </c>
      <c r="G276" s="1" t="s">
        <v>255</v>
      </c>
      <c r="H276" s="1" t="s">
        <v>1356</v>
      </c>
      <c r="I276" s="1" t="s">
        <v>1087</v>
      </c>
      <c r="J276">
        <v>2958</v>
      </c>
    </row>
    <row r="277" spans="1:10" x14ac:dyDescent="0.25">
      <c r="A277" s="2" t="s">
        <v>740</v>
      </c>
      <c r="B277" s="3" t="s">
        <v>741</v>
      </c>
      <c r="C277" s="3" t="s">
        <v>742</v>
      </c>
      <c r="D277" s="4" t="s">
        <v>7</v>
      </c>
      <c r="F277">
        <v>4796841112</v>
      </c>
      <c r="G277" s="1" t="s">
        <v>533</v>
      </c>
      <c r="H277" s="1" t="s">
        <v>1357</v>
      </c>
      <c r="I277" s="1" t="s">
        <v>1081</v>
      </c>
      <c r="J277">
        <v>2792</v>
      </c>
    </row>
    <row r="278" spans="1:10" x14ac:dyDescent="0.25">
      <c r="A278" s="5" t="s">
        <v>743</v>
      </c>
      <c r="B278" s="6" t="s">
        <v>744</v>
      </c>
      <c r="C278" s="6" t="s">
        <v>745</v>
      </c>
      <c r="D278" s="7" t="s">
        <v>7</v>
      </c>
      <c r="F278">
        <v>2138598159</v>
      </c>
      <c r="G278" s="1" t="s">
        <v>143</v>
      </c>
      <c r="H278" s="1" t="s">
        <v>1358</v>
      </c>
      <c r="I278" s="1" t="s">
        <v>1081</v>
      </c>
      <c r="J278">
        <v>2049</v>
      </c>
    </row>
    <row r="279" spans="1:10" x14ac:dyDescent="0.25">
      <c r="A279" s="2" t="s">
        <v>746</v>
      </c>
      <c r="B279" s="3" t="s">
        <v>747</v>
      </c>
      <c r="C279" s="3" t="s">
        <v>748</v>
      </c>
      <c r="D279" s="4" t="s">
        <v>7</v>
      </c>
      <c r="F279">
        <v>1617995032</v>
      </c>
      <c r="G279" s="1" t="s">
        <v>892</v>
      </c>
      <c r="H279" s="1" t="s">
        <v>1359</v>
      </c>
      <c r="I279" s="1" t="s">
        <v>1087</v>
      </c>
      <c r="J279">
        <v>1946</v>
      </c>
    </row>
    <row r="280" spans="1:10" x14ac:dyDescent="0.25">
      <c r="A280" s="5" t="s">
        <v>749</v>
      </c>
      <c r="B280" s="6" t="s">
        <v>750</v>
      </c>
      <c r="C280" s="6" t="s">
        <v>750</v>
      </c>
      <c r="D280" s="7" t="s">
        <v>22</v>
      </c>
      <c r="F280">
        <v>1278408463</v>
      </c>
      <c r="G280" s="1" t="s">
        <v>312</v>
      </c>
      <c r="H280" s="1" t="s">
        <v>1360</v>
      </c>
      <c r="I280" s="1" t="s">
        <v>1081</v>
      </c>
      <c r="J280">
        <v>2722</v>
      </c>
    </row>
    <row r="281" spans="1:10" x14ac:dyDescent="0.25">
      <c r="A281" s="2" t="s">
        <v>751</v>
      </c>
      <c r="B281" s="3" t="s">
        <v>752</v>
      </c>
      <c r="C281" s="3" t="s">
        <v>750</v>
      </c>
      <c r="D281" s="4" t="s">
        <v>7</v>
      </c>
      <c r="F281">
        <v>3345883725</v>
      </c>
      <c r="G281" s="1" t="s">
        <v>428</v>
      </c>
      <c r="H281" s="1" t="s">
        <v>1361</v>
      </c>
      <c r="I281" s="1" t="s">
        <v>1087</v>
      </c>
      <c r="J281">
        <v>2344</v>
      </c>
    </row>
    <row r="282" spans="1:10" x14ac:dyDescent="0.25">
      <c r="A282" s="5" t="s">
        <v>753</v>
      </c>
      <c r="B282" s="6" t="s">
        <v>754</v>
      </c>
      <c r="C282" s="6" t="s">
        <v>755</v>
      </c>
      <c r="D282" s="7" t="s">
        <v>7</v>
      </c>
      <c r="F282">
        <v>5528435390</v>
      </c>
      <c r="G282" s="1" t="s">
        <v>1022</v>
      </c>
      <c r="H282" s="1" t="s">
        <v>1362</v>
      </c>
      <c r="I282" s="1" t="s">
        <v>1087</v>
      </c>
      <c r="J282">
        <v>2465</v>
      </c>
    </row>
    <row r="283" spans="1:10" x14ac:dyDescent="0.25">
      <c r="A283" s="2" t="s">
        <v>756</v>
      </c>
      <c r="B283" s="3" t="s">
        <v>757</v>
      </c>
      <c r="C283" s="3" t="s">
        <v>758</v>
      </c>
      <c r="D283" s="4" t="s">
        <v>7</v>
      </c>
      <c r="F283">
        <v>3783578981</v>
      </c>
      <c r="G283" s="1" t="s">
        <v>386</v>
      </c>
      <c r="H283" s="1" t="s">
        <v>1363</v>
      </c>
      <c r="I283" s="1" t="s">
        <v>1087</v>
      </c>
      <c r="J283">
        <v>2174</v>
      </c>
    </row>
    <row r="284" spans="1:10" x14ac:dyDescent="0.25">
      <c r="A284" s="5" t="s">
        <v>759</v>
      </c>
      <c r="B284" s="6" t="s">
        <v>760</v>
      </c>
      <c r="C284" s="6" t="s">
        <v>761</v>
      </c>
      <c r="D284" s="7" t="s">
        <v>7</v>
      </c>
      <c r="F284">
        <v>4761158900</v>
      </c>
      <c r="G284" s="1" t="s">
        <v>29</v>
      </c>
      <c r="H284" s="1" t="s">
        <v>1364</v>
      </c>
      <c r="I284" s="1" t="s">
        <v>1081</v>
      </c>
      <c r="J284">
        <v>1812</v>
      </c>
    </row>
    <row r="285" spans="1:10" x14ac:dyDescent="0.25">
      <c r="A285" s="2" t="s">
        <v>762</v>
      </c>
      <c r="B285" s="3" t="s">
        <v>763</v>
      </c>
      <c r="C285" s="3" t="s">
        <v>763</v>
      </c>
      <c r="D285" s="4" t="s">
        <v>22</v>
      </c>
      <c r="F285">
        <v>4715154852</v>
      </c>
      <c r="G285" s="1" t="s">
        <v>1003</v>
      </c>
      <c r="H285" s="1" t="s">
        <v>1365</v>
      </c>
      <c r="I285" s="1" t="s">
        <v>1081</v>
      </c>
      <c r="J285">
        <v>2800</v>
      </c>
    </row>
    <row r="286" spans="1:10" x14ac:dyDescent="0.25">
      <c r="A286" s="5" t="s">
        <v>764</v>
      </c>
      <c r="B286" s="6" t="s">
        <v>765</v>
      </c>
      <c r="C286" s="6" t="s">
        <v>763</v>
      </c>
      <c r="D286" s="7" t="s">
        <v>7</v>
      </c>
      <c r="F286">
        <v>2581219876</v>
      </c>
      <c r="G286" s="1" t="s">
        <v>141</v>
      </c>
      <c r="H286" s="1" t="s">
        <v>1366</v>
      </c>
      <c r="I286" s="1" t="s">
        <v>1087</v>
      </c>
      <c r="J286">
        <v>2478</v>
      </c>
    </row>
    <row r="287" spans="1:10" x14ac:dyDescent="0.25">
      <c r="A287" s="2" t="s">
        <v>766</v>
      </c>
      <c r="B287" s="3" t="s">
        <v>767</v>
      </c>
      <c r="C287" s="3" t="s">
        <v>768</v>
      </c>
      <c r="D287" s="4" t="s">
        <v>7</v>
      </c>
      <c r="F287">
        <v>2245871126</v>
      </c>
      <c r="G287" s="1" t="s">
        <v>73</v>
      </c>
      <c r="H287" s="1" t="s">
        <v>1367</v>
      </c>
      <c r="I287" s="1" t="s">
        <v>1081</v>
      </c>
      <c r="J287">
        <v>2562</v>
      </c>
    </row>
    <row r="288" spans="1:10" x14ac:dyDescent="0.25">
      <c r="A288" s="5" t="s">
        <v>769</v>
      </c>
      <c r="B288" s="6" t="s">
        <v>770</v>
      </c>
      <c r="C288" s="6" t="s">
        <v>771</v>
      </c>
      <c r="D288" s="7" t="s">
        <v>7</v>
      </c>
      <c r="F288">
        <v>6727559092</v>
      </c>
      <c r="G288" s="1" t="s">
        <v>562</v>
      </c>
      <c r="H288" s="1" t="s">
        <v>1368</v>
      </c>
      <c r="I288" s="1" t="s">
        <v>1087</v>
      </c>
      <c r="J288">
        <v>980</v>
      </c>
    </row>
    <row r="289" spans="1:10" x14ac:dyDescent="0.25">
      <c r="A289" s="2" t="s">
        <v>772</v>
      </c>
      <c r="B289" s="3" t="s">
        <v>773</v>
      </c>
      <c r="C289" s="3" t="s">
        <v>774</v>
      </c>
      <c r="D289" s="4" t="s">
        <v>7</v>
      </c>
      <c r="F289">
        <v>1361555378</v>
      </c>
      <c r="G289" s="1" t="s">
        <v>1022</v>
      </c>
      <c r="H289" s="1" t="s">
        <v>1369</v>
      </c>
      <c r="I289" s="1" t="s">
        <v>1087</v>
      </c>
      <c r="J289">
        <v>2325</v>
      </c>
    </row>
    <row r="290" spans="1:10" x14ac:dyDescent="0.25">
      <c r="A290" s="5" t="s">
        <v>775</v>
      </c>
      <c r="B290" s="6" t="s">
        <v>776</v>
      </c>
      <c r="C290" s="6" t="s">
        <v>776</v>
      </c>
      <c r="D290" s="7" t="s">
        <v>22</v>
      </c>
      <c r="F290">
        <v>5418968184</v>
      </c>
      <c r="G290" s="1" t="s">
        <v>1022</v>
      </c>
      <c r="H290" s="1" t="s">
        <v>1370</v>
      </c>
      <c r="I290" s="1" t="s">
        <v>1087</v>
      </c>
      <c r="J290">
        <v>1830</v>
      </c>
    </row>
    <row r="291" spans="1:10" x14ac:dyDescent="0.25">
      <c r="A291" s="2" t="s">
        <v>777</v>
      </c>
      <c r="B291" s="3" t="s">
        <v>778</v>
      </c>
      <c r="C291" s="3" t="s">
        <v>778</v>
      </c>
      <c r="D291" s="4" t="s">
        <v>22</v>
      </c>
      <c r="F291">
        <v>1165493421</v>
      </c>
      <c r="G291" s="1" t="s">
        <v>1022</v>
      </c>
      <c r="H291" s="1" t="s">
        <v>1371</v>
      </c>
      <c r="I291" s="1" t="s">
        <v>1081</v>
      </c>
      <c r="J291">
        <v>3122</v>
      </c>
    </row>
    <row r="292" spans="1:10" x14ac:dyDescent="0.25">
      <c r="A292" s="5" t="s">
        <v>779</v>
      </c>
      <c r="B292" s="6" t="s">
        <v>780</v>
      </c>
      <c r="C292" s="6" t="s">
        <v>781</v>
      </c>
      <c r="D292" s="7" t="s">
        <v>7</v>
      </c>
      <c r="F292">
        <v>1433397952</v>
      </c>
      <c r="G292" s="1" t="s">
        <v>314</v>
      </c>
      <c r="H292" s="1" t="s">
        <v>1372</v>
      </c>
      <c r="I292" s="1" t="s">
        <v>1081</v>
      </c>
      <c r="J292">
        <v>2660</v>
      </c>
    </row>
    <row r="293" spans="1:10" x14ac:dyDescent="0.25">
      <c r="A293" s="2" t="s">
        <v>782</v>
      </c>
      <c r="B293" s="3" t="s">
        <v>780</v>
      </c>
      <c r="C293" s="3" t="s">
        <v>783</v>
      </c>
      <c r="D293" s="4" t="s">
        <v>7</v>
      </c>
      <c r="F293">
        <v>6727559092</v>
      </c>
      <c r="G293" s="1" t="s">
        <v>864</v>
      </c>
      <c r="H293" s="1" t="s">
        <v>1373</v>
      </c>
      <c r="I293" s="1" t="s">
        <v>1081</v>
      </c>
      <c r="J293">
        <v>2822</v>
      </c>
    </row>
    <row r="294" spans="1:10" x14ac:dyDescent="0.25">
      <c r="A294" s="5" t="s">
        <v>784</v>
      </c>
      <c r="B294" s="6" t="s">
        <v>785</v>
      </c>
      <c r="C294" s="6" t="s">
        <v>786</v>
      </c>
      <c r="D294" s="7" t="s">
        <v>7</v>
      </c>
      <c r="F294">
        <v>5514533376</v>
      </c>
      <c r="G294" s="1" t="s">
        <v>255</v>
      </c>
      <c r="H294" s="1" t="s">
        <v>1374</v>
      </c>
      <c r="I294" s="1" t="s">
        <v>1081</v>
      </c>
      <c r="J294">
        <v>2895</v>
      </c>
    </row>
    <row r="295" spans="1:10" x14ac:dyDescent="0.25">
      <c r="A295" s="2" t="s">
        <v>787</v>
      </c>
      <c r="B295" s="3" t="s">
        <v>788</v>
      </c>
      <c r="C295" s="3" t="s">
        <v>789</v>
      </c>
      <c r="D295" s="4" t="s">
        <v>7</v>
      </c>
      <c r="F295">
        <v>3866883575</v>
      </c>
      <c r="G295" s="1" t="s">
        <v>434</v>
      </c>
      <c r="H295" s="1" t="s">
        <v>1375</v>
      </c>
      <c r="I295" s="1" t="s">
        <v>1081</v>
      </c>
      <c r="J295">
        <v>2638</v>
      </c>
    </row>
    <row r="296" spans="1:10" x14ac:dyDescent="0.25">
      <c r="A296" s="5" t="s">
        <v>790</v>
      </c>
      <c r="B296" s="6" t="s">
        <v>791</v>
      </c>
      <c r="C296" s="6" t="s">
        <v>792</v>
      </c>
      <c r="D296" s="7" t="s">
        <v>7</v>
      </c>
      <c r="F296">
        <v>1433397952</v>
      </c>
      <c r="G296" s="1" t="s">
        <v>314</v>
      </c>
      <c r="H296" s="1" t="s">
        <v>1376</v>
      </c>
      <c r="I296" s="1" t="s">
        <v>1081</v>
      </c>
      <c r="J296">
        <v>2018</v>
      </c>
    </row>
    <row r="297" spans="1:10" x14ac:dyDescent="0.25">
      <c r="A297" s="2" t="s">
        <v>793</v>
      </c>
      <c r="B297" s="3" t="s">
        <v>794</v>
      </c>
      <c r="C297" s="3" t="s">
        <v>795</v>
      </c>
      <c r="D297" s="4" t="s">
        <v>7</v>
      </c>
      <c r="F297">
        <v>4779174699</v>
      </c>
      <c r="G297" s="1" t="s">
        <v>1003</v>
      </c>
      <c r="H297" s="1" t="s">
        <v>1377</v>
      </c>
      <c r="I297" s="1" t="s">
        <v>1081</v>
      </c>
      <c r="J297">
        <v>1600</v>
      </c>
    </row>
    <row r="298" spans="1:10" x14ac:dyDescent="0.25">
      <c r="A298" s="5" t="s">
        <v>796</v>
      </c>
      <c r="B298" s="6" t="s">
        <v>797</v>
      </c>
      <c r="C298" s="6" t="s">
        <v>798</v>
      </c>
      <c r="D298" s="7" t="s">
        <v>7</v>
      </c>
      <c r="F298">
        <v>4326751508</v>
      </c>
      <c r="G298" s="1" t="s">
        <v>386</v>
      </c>
      <c r="H298" s="1" t="s">
        <v>1378</v>
      </c>
      <c r="I298" s="1" t="s">
        <v>1081</v>
      </c>
      <c r="J298">
        <v>1800</v>
      </c>
    </row>
    <row r="299" spans="1:10" x14ac:dyDescent="0.25">
      <c r="A299" s="2" t="s">
        <v>799</v>
      </c>
      <c r="B299" s="3" t="s">
        <v>800</v>
      </c>
      <c r="C299" s="3" t="s">
        <v>801</v>
      </c>
      <c r="D299" s="4" t="s">
        <v>7</v>
      </c>
      <c r="F299">
        <v>4761158900</v>
      </c>
      <c r="G299" s="1" t="s">
        <v>29</v>
      </c>
      <c r="H299" s="1" t="s">
        <v>1379</v>
      </c>
      <c r="I299" s="1" t="s">
        <v>1081</v>
      </c>
      <c r="J299">
        <v>3144</v>
      </c>
    </row>
    <row r="300" spans="1:10" x14ac:dyDescent="0.25">
      <c r="A300" s="5" t="s">
        <v>802</v>
      </c>
      <c r="B300" s="6" t="s">
        <v>803</v>
      </c>
      <c r="C300" s="6" t="s">
        <v>804</v>
      </c>
      <c r="D300" s="7" t="s">
        <v>7</v>
      </c>
      <c r="F300">
        <v>2119268767</v>
      </c>
      <c r="G300" s="1" t="s">
        <v>141</v>
      </c>
      <c r="H300" s="1" t="s">
        <v>1380</v>
      </c>
      <c r="I300" s="1" t="s">
        <v>1081</v>
      </c>
      <c r="J300">
        <v>1740</v>
      </c>
    </row>
    <row r="301" spans="1:10" x14ac:dyDescent="0.25">
      <c r="A301" s="2" t="s">
        <v>805</v>
      </c>
      <c r="B301" s="3" t="s">
        <v>806</v>
      </c>
      <c r="C301" s="3" t="s">
        <v>807</v>
      </c>
      <c r="D301" s="4" t="s">
        <v>7</v>
      </c>
      <c r="F301">
        <v>2581219876</v>
      </c>
      <c r="G301" s="1" t="s">
        <v>141</v>
      </c>
      <c r="H301" s="1" t="s">
        <v>1381</v>
      </c>
      <c r="I301" s="1" t="s">
        <v>1081</v>
      </c>
      <c r="J301">
        <v>2490</v>
      </c>
    </row>
    <row r="302" spans="1:10" x14ac:dyDescent="0.25">
      <c r="A302" s="5" t="s">
        <v>808</v>
      </c>
      <c r="B302" s="6" t="s">
        <v>809</v>
      </c>
      <c r="C302" s="6" t="s">
        <v>810</v>
      </c>
      <c r="D302" s="7" t="s">
        <v>7</v>
      </c>
      <c r="F302">
        <v>2281651150</v>
      </c>
      <c r="G302" s="1" t="s">
        <v>552</v>
      </c>
      <c r="H302" s="1" t="s">
        <v>1382</v>
      </c>
      <c r="I302" s="1" t="s">
        <v>1087</v>
      </c>
      <c r="J302">
        <v>2170</v>
      </c>
    </row>
    <row r="303" spans="1:10" x14ac:dyDescent="0.25">
      <c r="A303" s="2" t="s">
        <v>811</v>
      </c>
      <c r="B303" s="3" t="s">
        <v>812</v>
      </c>
      <c r="C303" s="3" t="s">
        <v>813</v>
      </c>
      <c r="D303" s="4" t="s">
        <v>7</v>
      </c>
      <c r="F303">
        <v>1599095267</v>
      </c>
      <c r="G303" s="1" t="s">
        <v>1022</v>
      </c>
      <c r="H303" s="1" t="s">
        <v>1383</v>
      </c>
      <c r="I303" s="1" t="s">
        <v>1081</v>
      </c>
      <c r="J303">
        <v>2238</v>
      </c>
    </row>
    <row r="304" spans="1:10" x14ac:dyDescent="0.25">
      <c r="A304" s="5" t="s">
        <v>814</v>
      </c>
      <c r="B304" s="6" t="s">
        <v>815</v>
      </c>
      <c r="C304" s="6" t="s">
        <v>816</v>
      </c>
      <c r="D304" s="7" t="s">
        <v>7</v>
      </c>
      <c r="F304">
        <v>3783578981</v>
      </c>
      <c r="G304" s="1" t="s">
        <v>386</v>
      </c>
      <c r="H304" s="1" t="s">
        <v>1384</v>
      </c>
      <c r="I304" s="1" t="s">
        <v>1087</v>
      </c>
      <c r="J304">
        <v>2642</v>
      </c>
    </row>
    <row r="305" spans="1:10" x14ac:dyDescent="0.25">
      <c r="A305" s="2" t="s">
        <v>817</v>
      </c>
      <c r="B305" s="3" t="s">
        <v>818</v>
      </c>
      <c r="C305" s="3" t="s">
        <v>819</v>
      </c>
      <c r="D305" s="4" t="s">
        <v>7</v>
      </c>
      <c r="F305">
        <v>4779174699</v>
      </c>
      <c r="G305" s="1" t="s">
        <v>1003</v>
      </c>
      <c r="H305" s="1" t="s">
        <v>1385</v>
      </c>
      <c r="I305" s="1" t="s">
        <v>1081</v>
      </c>
      <c r="J305">
        <v>1575</v>
      </c>
    </row>
    <row r="306" spans="1:10" x14ac:dyDescent="0.25">
      <c r="A306" s="5" t="s">
        <v>820</v>
      </c>
      <c r="B306" s="6" t="s">
        <v>821</v>
      </c>
      <c r="C306" s="6" t="s">
        <v>821</v>
      </c>
      <c r="D306" s="7" t="s">
        <v>22</v>
      </c>
      <c r="F306">
        <v>4580185570</v>
      </c>
      <c r="G306" s="1" t="s">
        <v>1022</v>
      </c>
      <c r="H306" s="1" t="s">
        <v>1386</v>
      </c>
      <c r="I306" s="1" t="s">
        <v>1081</v>
      </c>
      <c r="J306">
        <v>1623</v>
      </c>
    </row>
    <row r="307" spans="1:10" x14ac:dyDescent="0.25">
      <c r="A307" s="2" t="s">
        <v>822</v>
      </c>
      <c r="B307" s="3" t="s">
        <v>823</v>
      </c>
      <c r="C307" s="3" t="s">
        <v>821</v>
      </c>
      <c r="D307" s="4" t="s">
        <v>7</v>
      </c>
      <c r="F307">
        <v>6727559092</v>
      </c>
      <c r="G307" s="1" t="s">
        <v>864</v>
      </c>
      <c r="H307" s="1" t="s">
        <v>1387</v>
      </c>
      <c r="I307" s="1" t="s">
        <v>1087</v>
      </c>
      <c r="J307">
        <v>2550</v>
      </c>
    </row>
    <row r="308" spans="1:10" x14ac:dyDescent="0.25">
      <c r="A308" s="5" t="s">
        <v>824</v>
      </c>
      <c r="B308" s="6" t="s">
        <v>825</v>
      </c>
      <c r="C308" s="6" t="s">
        <v>826</v>
      </c>
      <c r="D308" s="7" t="s">
        <v>7</v>
      </c>
      <c r="F308">
        <v>6727559092</v>
      </c>
      <c r="G308" s="1" t="s">
        <v>864</v>
      </c>
      <c r="H308" s="1" t="s">
        <v>1388</v>
      </c>
      <c r="I308" s="1" t="s">
        <v>1081</v>
      </c>
      <c r="J308">
        <v>2384</v>
      </c>
    </row>
    <row r="309" spans="1:10" x14ac:dyDescent="0.25">
      <c r="A309" s="2" t="s">
        <v>827</v>
      </c>
      <c r="B309" s="3" t="s">
        <v>825</v>
      </c>
      <c r="C309" s="3" t="s">
        <v>828</v>
      </c>
      <c r="D309" s="4" t="s">
        <v>7</v>
      </c>
      <c r="F309">
        <v>5418968184</v>
      </c>
      <c r="G309" s="1" t="s">
        <v>708</v>
      </c>
      <c r="H309" s="1" t="s">
        <v>1389</v>
      </c>
      <c r="I309" s="1" t="s">
        <v>1087</v>
      </c>
      <c r="J309">
        <v>2364</v>
      </c>
    </row>
    <row r="310" spans="1:10" x14ac:dyDescent="0.25">
      <c r="A310" s="5" t="s">
        <v>829</v>
      </c>
      <c r="B310" s="6" t="s">
        <v>830</v>
      </c>
      <c r="C310" s="6" t="s">
        <v>831</v>
      </c>
      <c r="D310" s="7" t="s">
        <v>7</v>
      </c>
      <c r="F310">
        <v>5514533376</v>
      </c>
      <c r="G310" s="1" t="s">
        <v>255</v>
      </c>
      <c r="H310" s="1" t="s">
        <v>1390</v>
      </c>
      <c r="I310" s="1" t="s">
        <v>1081</v>
      </c>
      <c r="J310">
        <v>2642</v>
      </c>
    </row>
    <row r="311" spans="1:10" x14ac:dyDescent="0.25">
      <c r="A311" s="2" t="s">
        <v>832</v>
      </c>
      <c r="B311" s="3" t="s">
        <v>833</v>
      </c>
      <c r="C311" s="3" t="s">
        <v>834</v>
      </c>
      <c r="D311" s="4" t="s">
        <v>7</v>
      </c>
      <c r="F311">
        <v>3579231044</v>
      </c>
      <c r="G311" s="1" t="s">
        <v>370</v>
      </c>
      <c r="H311" s="1" t="s">
        <v>1391</v>
      </c>
      <c r="I311" s="1" t="s">
        <v>1081</v>
      </c>
      <c r="J311">
        <v>3002</v>
      </c>
    </row>
    <row r="312" spans="1:10" x14ac:dyDescent="0.25">
      <c r="A312" s="5" t="s">
        <v>835</v>
      </c>
      <c r="B312" s="6" t="s">
        <v>836</v>
      </c>
      <c r="C312" s="6" t="s">
        <v>837</v>
      </c>
      <c r="D312" s="7" t="s">
        <v>7</v>
      </c>
      <c r="F312">
        <v>4458233905</v>
      </c>
      <c r="G312" s="1" t="s">
        <v>1003</v>
      </c>
      <c r="H312" s="1" t="s">
        <v>1392</v>
      </c>
      <c r="I312" s="1" t="s">
        <v>1081</v>
      </c>
      <c r="J312">
        <v>3128</v>
      </c>
    </row>
    <row r="313" spans="1:10" x14ac:dyDescent="0.25">
      <c r="A313" s="2" t="s">
        <v>838</v>
      </c>
      <c r="B313" s="3" t="s">
        <v>839</v>
      </c>
      <c r="C313" s="3" t="s">
        <v>840</v>
      </c>
      <c r="D313" s="4" t="s">
        <v>22</v>
      </c>
      <c r="F313">
        <v>1939065269</v>
      </c>
      <c r="G313" s="1" t="s">
        <v>636</v>
      </c>
      <c r="H313" s="1" t="s">
        <v>1393</v>
      </c>
      <c r="I313" s="1" t="s">
        <v>1087</v>
      </c>
      <c r="J313">
        <v>1980</v>
      </c>
    </row>
    <row r="314" spans="1:10" x14ac:dyDescent="0.25">
      <c r="A314" s="5" t="s">
        <v>841</v>
      </c>
      <c r="B314" s="6" t="s">
        <v>842</v>
      </c>
      <c r="C314" s="6" t="s">
        <v>842</v>
      </c>
      <c r="D314" s="7" t="s">
        <v>22</v>
      </c>
      <c r="F314">
        <v>3345883725</v>
      </c>
      <c r="G314" s="1" t="s">
        <v>428</v>
      </c>
      <c r="H314" s="1" t="s">
        <v>1394</v>
      </c>
      <c r="I314" s="1" t="s">
        <v>1087</v>
      </c>
      <c r="J314">
        <v>2784</v>
      </c>
    </row>
    <row r="315" spans="1:10" x14ac:dyDescent="0.25">
      <c r="A315" s="2" t="s">
        <v>843</v>
      </c>
      <c r="B315" s="3" t="s">
        <v>844</v>
      </c>
      <c r="C315" s="3" t="s">
        <v>845</v>
      </c>
      <c r="D315" s="4" t="s">
        <v>7</v>
      </c>
      <c r="F315">
        <v>3357631311</v>
      </c>
      <c r="G315" s="1" t="s">
        <v>1030</v>
      </c>
      <c r="H315" s="1" t="s">
        <v>1395</v>
      </c>
      <c r="I315" s="1" t="s">
        <v>1081</v>
      </c>
      <c r="J315">
        <v>2014</v>
      </c>
    </row>
    <row r="316" spans="1:10" x14ac:dyDescent="0.25">
      <c r="A316" s="5" t="s">
        <v>846</v>
      </c>
      <c r="B316" s="6" t="s">
        <v>847</v>
      </c>
      <c r="C316" s="6" t="s">
        <v>847</v>
      </c>
      <c r="D316" s="7" t="s">
        <v>22</v>
      </c>
      <c r="F316">
        <v>2869229213</v>
      </c>
      <c r="G316" s="1" t="s">
        <v>708</v>
      </c>
      <c r="H316" s="1" t="s">
        <v>1396</v>
      </c>
      <c r="I316" s="1" t="s">
        <v>1087</v>
      </c>
      <c r="J316">
        <v>1280</v>
      </c>
    </row>
    <row r="317" spans="1:10" x14ac:dyDescent="0.25">
      <c r="A317" s="2" t="s">
        <v>848</v>
      </c>
      <c r="B317" s="3" t="s">
        <v>849</v>
      </c>
      <c r="C317" s="3" t="s">
        <v>850</v>
      </c>
      <c r="D317" s="4" t="s">
        <v>7</v>
      </c>
      <c r="F317">
        <v>1599095267</v>
      </c>
      <c r="G317" s="1" t="s">
        <v>708</v>
      </c>
      <c r="H317" s="1" t="s">
        <v>1397</v>
      </c>
      <c r="I317" s="1" t="s">
        <v>1087</v>
      </c>
      <c r="J317">
        <v>2796</v>
      </c>
    </row>
    <row r="318" spans="1:10" x14ac:dyDescent="0.25">
      <c r="A318" s="5" t="s">
        <v>851</v>
      </c>
      <c r="B318" s="6" t="s">
        <v>852</v>
      </c>
      <c r="C318" s="6" t="s">
        <v>853</v>
      </c>
      <c r="D318" s="7" t="s">
        <v>7</v>
      </c>
      <c r="F318">
        <v>3678947206</v>
      </c>
      <c r="G318" s="1" t="s">
        <v>527</v>
      </c>
      <c r="H318" s="1" t="s">
        <v>1398</v>
      </c>
      <c r="I318" s="1" t="s">
        <v>1087</v>
      </c>
      <c r="J318">
        <v>2475</v>
      </c>
    </row>
    <row r="319" spans="1:10" x14ac:dyDescent="0.25">
      <c r="A319" s="2" t="s">
        <v>854</v>
      </c>
      <c r="B319" s="3" t="s">
        <v>855</v>
      </c>
      <c r="C319" s="3" t="s">
        <v>856</v>
      </c>
      <c r="D319" s="4" t="s">
        <v>7</v>
      </c>
      <c r="F319">
        <v>2245871126</v>
      </c>
      <c r="G319" s="1" t="s">
        <v>73</v>
      </c>
      <c r="H319" s="1" t="s">
        <v>1399</v>
      </c>
      <c r="I319" s="1" t="s">
        <v>1087</v>
      </c>
      <c r="J319">
        <v>1806</v>
      </c>
    </row>
    <row r="320" spans="1:10" x14ac:dyDescent="0.25">
      <c r="A320" s="5" t="s">
        <v>857</v>
      </c>
      <c r="B320" s="6" t="s">
        <v>858</v>
      </c>
      <c r="C320" s="6" t="s">
        <v>859</v>
      </c>
      <c r="D320" s="7" t="s">
        <v>7</v>
      </c>
      <c r="F320">
        <v>5115061689</v>
      </c>
      <c r="G320" s="1" t="s">
        <v>704</v>
      </c>
      <c r="H320" s="1" t="s">
        <v>1400</v>
      </c>
      <c r="I320" s="1" t="s">
        <v>1087</v>
      </c>
      <c r="J320">
        <v>2595</v>
      </c>
    </row>
    <row r="321" spans="1:10" x14ac:dyDescent="0.25">
      <c r="A321" s="2" t="s">
        <v>860</v>
      </c>
      <c r="B321" s="3" t="s">
        <v>861</v>
      </c>
      <c r="C321" s="3" t="s">
        <v>861</v>
      </c>
      <c r="D321" s="4" t="s">
        <v>22</v>
      </c>
      <c r="F321">
        <v>1620242236</v>
      </c>
      <c r="G321" s="1" t="s">
        <v>314</v>
      </c>
      <c r="H321" s="1" t="s">
        <v>1401</v>
      </c>
      <c r="I321" s="1" t="s">
        <v>1081</v>
      </c>
      <c r="J321">
        <v>2836</v>
      </c>
    </row>
    <row r="322" spans="1:10" x14ac:dyDescent="0.25">
      <c r="A322" s="5" t="s">
        <v>862</v>
      </c>
      <c r="B322" s="6" t="s">
        <v>863</v>
      </c>
      <c r="C322" s="6" t="s">
        <v>861</v>
      </c>
      <c r="D322" s="7" t="s">
        <v>7</v>
      </c>
      <c r="F322">
        <v>3318203338</v>
      </c>
      <c r="G322" s="1" t="s">
        <v>708</v>
      </c>
      <c r="H322" s="1" t="s">
        <v>1402</v>
      </c>
      <c r="I322" s="1" t="s">
        <v>1087</v>
      </c>
      <c r="J322">
        <v>2349</v>
      </c>
    </row>
    <row r="323" spans="1:10" x14ac:dyDescent="0.25">
      <c r="A323" s="2" t="s">
        <v>864</v>
      </c>
      <c r="B323" s="3" t="s">
        <v>865</v>
      </c>
      <c r="C323" s="3" t="s">
        <v>866</v>
      </c>
      <c r="D323" s="4" t="s">
        <v>7</v>
      </c>
      <c r="F323">
        <v>3357631311</v>
      </c>
      <c r="G323" s="1" t="s">
        <v>1030</v>
      </c>
      <c r="H323" s="1" t="s">
        <v>1403</v>
      </c>
      <c r="I323" s="1" t="s">
        <v>1087</v>
      </c>
      <c r="J323">
        <v>2870</v>
      </c>
    </row>
    <row r="324" spans="1:10" x14ac:dyDescent="0.25">
      <c r="A324" s="5" t="s">
        <v>867</v>
      </c>
      <c r="B324" s="6" t="s">
        <v>868</v>
      </c>
      <c r="C324" s="6" t="s">
        <v>868</v>
      </c>
      <c r="D324" s="7" t="s">
        <v>22</v>
      </c>
      <c r="F324">
        <v>4580185570</v>
      </c>
      <c r="G324" s="1" t="s">
        <v>708</v>
      </c>
      <c r="H324" s="1" t="s">
        <v>1404</v>
      </c>
      <c r="I324" s="1" t="s">
        <v>1087</v>
      </c>
      <c r="J324">
        <v>2616</v>
      </c>
    </row>
    <row r="325" spans="1:10" x14ac:dyDescent="0.25">
      <c r="A325" s="2" t="s">
        <v>869</v>
      </c>
      <c r="B325" s="3" t="s">
        <v>870</v>
      </c>
      <c r="C325" s="3" t="s">
        <v>868</v>
      </c>
      <c r="D325" s="4" t="s">
        <v>7</v>
      </c>
      <c r="F325">
        <v>6758177505</v>
      </c>
      <c r="G325" s="1" t="s">
        <v>864</v>
      </c>
      <c r="H325" s="1" t="s">
        <v>1405</v>
      </c>
      <c r="I325" s="1" t="s">
        <v>1081</v>
      </c>
      <c r="J325">
        <v>2523</v>
      </c>
    </row>
    <row r="326" spans="1:10" x14ac:dyDescent="0.25">
      <c r="A326" s="5" t="s">
        <v>871</v>
      </c>
      <c r="B326" s="6" t="s">
        <v>872</v>
      </c>
      <c r="C326" s="6" t="s">
        <v>873</v>
      </c>
      <c r="D326" s="7" t="s">
        <v>7</v>
      </c>
      <c r="F326">
        <v>3568004264</v>
      </c>
      <c r="G326" s="1" t="s">
        <v>428</v>
      </c>
      <c r="H326" s="1" t="s">
        <v>1406</v>
      </c>
      <c r="I326" s="1" t="s">
        <v>1081</v>
      </c>
      <c r="J326">
        <v>2060</v>
      </c>
    </row>
    <row r="327" spans="1:10" x14ac:dyDescent="0.25">
      <c r="A327" s="2" t="s">
        <v>874</v>
      </c>
      <c r="B327" s="3" t="s">
        <v>875</v>
      </c>
      <c r="C327" s="3" t="s">
        <v>876</v>
      </c>
      <c r="D327" s="4" t="s">
        <v>7</v>
      </c>
      <c r="F327">
        <v>3470453173</v>
      </c>
      <c r="G327" s="1" t="s">
        <v>85</v>
      </c>
      <c r="H327" s="1" t="s">
        <v>1407</v>
      </c>
      <c r="I327" s="1" t="s">
        <v>1087</v>
      </c>
      <c r="J327">
        <v>2151</v>
      </c>
    </row>
    <row r="328" spans="1:10" x14ac:dyDescent="0.25">
      <c r="A328" s="5" t="s">
        <v>877</v>
      </c>
      <c r="B328" s="6" t="s">
        <v>878</v>
      </c>
      <c r="C328" s="6" t="s">
        <v>879</v>
      </c>
      <c r="D328" s="7" t="s">
        <v>7</v>
      </c>
      <c r="F328">
        <v>3866883575</v>
      </c>
      <c r="G328" s="1" t="s">
        <v>434</v>
      </c>
      <c r="H328" s="1" t="s">
        <v>1408</v>
      </c>
      <c r="I328" s="1" t="s">
        <v>1087</v>
      </c>
      <c r="J328">
        <v>2818</v>
      </c>
    </row>
    <row r="329" spans="1:10" x14ac:dyDescent="0.25">
      <c r="A329" s="2" t="s">
        <v>880</v>
      </c>
      <c r="B329" s="3" t="s">
        <v>878</v>
      </c>
      <c r="C329" s="3" t="s">
        <v>881</v>
      </c>
      <c r="D329" s="4" t="s">
        <v>7</v>
      </c>
      <c r="F329">
        <v>1433397952</v>
      </c>
      <c r="G329" s="1" t="s">
        <v>314</v>
      </c>
      <c r="H329" s="1" t="s">
        <v>1409</v>
      </c>
      <c r="I329" s="1" t="s">
        <v>1087</v>
      </c>
      <c r="J329">
        <v>1851</v>
      </c>
    </row>
    <row r="330" spans="1:10" x14ac:dyDescent="0.25">
      <c r="A330" s="5" t="s">
        <v>882</v>
      </c>
      <c r="B330" s="6" t="s">
        <v>883</v>
      </c>
      <c r="C330" s="6" t="s">
        <v>883</v>
      </c>
      <c r="D330" s="7" t="s">
        <v>22</v>
      </c>
      <c r="F330">
        <v>3470453173</v>
      </c>
      <c r="G330" s="1" t="s">
        <v>85</v>
      </c>
      <c r="H330" s="1" t="s">
        <v>1410</v>
      </c>
      <c r="I330" s="1" t="s">
        <v>1081</v>
      </c>
      <c r="J330">
        <v>2062</v>
      </c>
    </row>
    <row r="331" spans="1:10" x14ac:dyDescent="0.25">
      <c r="A331" s="2" t="s">
        <v>884</v>
      </c>
      <c r="B331" s="3" t="s">
        <v>885</v>
      </c>
      <c r="C331" s="3" t="s">
        <v>883</v>
      </c>
      <c r="D331" s="4" t="s">
        <v>7</v>
      </c>
      <c r="F331">
        <v>6758177505</v>
      </c>
      <c r="G331" s="1" t="s">
        <v>864</v>
      </c>
      <c r="H331" s="1" t="s">
        <v>1411</v>
      </c>
      <c r="I331" s="1" t="s">
        <v>1087</v>
      </c>
      <c r="J331">
        <v>2258</v>
      </c>
    </row>
    <row r="332" spans="1:10" x14ac:dyDescent="0.25">
      <c r="A332" s="5" t="s">
        <v>886</v>
      </c>
      <c r="B332" s="6" t="s">
        <v>887</v>
      </c>
      <c r="C332" s="6" t="s">
        <v>888</v>
      </c>
      <c r="D332" s="7" t="s">
        <v>7</v>
      </c>
      <c r="F332">
        <v>5266741491</v>
      </c>
      <c r="G332" s="1" t="s">
        <v>708</v>
      </c>
      <c r="H332" s="1" t="s">
        <v>1412</v>
      </c>
      <c r="I332" s="1" t="s">
        <v>1087</v>
      </c>
      <c r="J332">
        <v>1774</v>
      </c>
    </row>
    <row r="333" spans="1:10" x14ac:dyDescent="0.25">
      <c r="A333" s="2" t="s">
        <v>889</v>
      </c>
      <c r="B333" s="3" t="s">
        <v>890</v>
      </c>
      <c r="C333" s="3" t="s">
        <v>891</v>
      </c>
      <c r="D333" s="4" t="s">
        <v>7</v>
      </c>
      <c r="F333">
        <v>2214740049</v>
      </c>
      <c r="G333" s="1" t="s">
        <v>56</v>
      </c>
      <c r="H333" s="1" t="s">
        <v>1413</v>
      </c>
      <c r="I333" s="1" t="s">
        <v>1087</v>
      </c>
      <c r="J333">
        <v>2066</v>
      </c>
    </row>
    <row r="334" spans="1:10" x14ac:dyDescent="0.25">
      <c r="A334" s="5" t="s">
        <v>892</v>
      </c>
      <c r="B334" s="6" t="s">
        <v>893</v>
      </c>
      <c r="C334" s="6" t="s">
        <v>894</v>
      </c>
      <c r="D334" s="7" t="s">
        <v>7</v>
      </c>
      <c r="F334">
        <v>1433397952</v>
      </c>
      <c r="G334" s="1" t="s">
        <v>314</v>
      </c>
      <c r="H334" s="1" t="s">
        <v>1414</v>
      </c>
      <c r="I334" s="1" t="s">
        <v>1087</v>
      </c>
      <c r="J334">
        <v>1626</v>
      </c>
    </row>
    <row r="335" spans="1:10" x14ac:dyDescent="0.25">
      <c r="A335" s="2" t="s">
        <v>895</v>
      </c>
      <c r="B335" s="3" t="s">
        <v>896</v>
      </c>
      <c r="C335" s="3" t="s">
        <v>896</v>
      </c>
      <c r="D335" s="4" t="s">
        <v>22</v>
      </c>
      <c r="F335">
        <v>4326751508</v>
      </c>
      <c r="G335" s="1" t="s">
        <v>255</v>
      </c>
      <c r="H335" s="1" t="s">
        <v>1415</v>
      </c>
      <c r="I335" s="1" t="s">
        <v>1087</v>
      </c>
      <c r="J335">
        <v>1601</v>
      </c>
    </row>
    <row r="336" spans="1:10" x14ac:dyDescent="0.25">
      <c r="A336" s="5" t="s">
        <v>897</v>
      </c>
      <c r="B336" s="6" t="s">
        <v>898</v>
      </c>
      <c r="C336" s="6" t="s">
        <v>896</v>
      </c>
      <c r="D336" s="7" t="s">
        <v>7</v>
      </c>
      <c r="F336">
        <v>1433397952</v>
      </c>
      <c r="G336" s="1" t="s">
        <v>314</v>
      </c>
      <c r="H336" s="1" t="s">
        <v>1416</v>
      </c>
      <c r="I336" s="1" t="s">
        <v>1087</v>
      </c>
      <c r="J336">
        <v>2865</v>
      </c>
    </row>
    <row r="337" spans="1:10" x14ac:dyDescent="0.25">
      <c r="A337" s="2" t="s">
        <v>899</v>
      </c>
      <c r="B337" s="3" t="s">
        <v>900</v>
      </c>
      <c r="C337" s="3" t="s">
        <v>901</v>
      </c>
      <c r="D337" s="4" t="s">
        <v>7</v>
      </c>
      <c r="F337">
        <v>2281651150</v>
      </c>
      <c r="G337" s="1" t="s">
        <v>552</v>
      </c>
      <c r="H337" s="1" t="s">
        <v>1417</v>
      </c>
      <c r="I337" s="1" t="s">
        <v>1081</v>
      </c>
      <c r="J337">
        <v>2136</v>
      </c>
    </row>
    <row r="338" spans="1:10" x14ac:dyDescent="0.25">
      <c r="A338" s="5" t="s">
        <v>902</v>
      </c>
      <c r="B338" s="6" t="s">
        <v>903</v>
      </c>
      <c r="C338" s="6" t="s">
        <v>904</v>
      </c>
      <c r="D338" s="7" t="s">
        <v>7</v>
      </c>
      <c r="F338">
        <v>5581610439</v>
      </c>
      <c r="G338" s="1" t="s">
        <v>602</v>
      </c>
      <c r="H338" s="1" t="s">
        <v>1418</v>
      </c>
      <c r="I338" s="1" t="s">
        <v>1087</v>
      </c>
      <c r="J338">
        <v>2316</v>
      </c>
    </row>
    <row r="339" spans="1:10" x14ac:dyDescent="0.25">
      <c r="A339" s="2" t="s">
        <v>905</v>
      </c>
      <c r="B339" s="3" t="s">
        <v>906</v>
      </c>
      <c r="C339" s="3" t="s">
        <v>907</v>
      </c>
      <c r="D339" s="4" t="s">
        <v>7</v>
      </c>
    </row>
    <row r="340" spans="1:10" x14ac:dyDescent="0.25">
      <c r="A340" s="5" t="s">
        <v>908</v>
      </c>
      <c r="B340" s="6" t="s">
        <v>909</v>
      </c>
      <c r="C340" s="6" t="s">
        <v>909</v>
      </c>
      <c r="D340" s="7" t="s">
        <v>22</v>
      </c>
    </row>
    <row r="341" spans="1:10" x14ac:dyDescent="0.25">
      <c r="A341" s="2" t="s">
        <v>910</v>
      </c>
      <c r="B341" s="3" t="s">
        <v>911</v>
      </c>
      <c r="C341" s="3" t="s">
        <v>909</v>
      </c>
      <c r="D341" s="4" t="s">
        <v>7</v>
      </c>
    </row>
    <row r="342" spans="1:10" x14ac:dyDescent="0.25">
      <c r="A342" s="5" t="s">
        <v>912</v>
      </c>
      <c r="B342" s="6" t="s">
        <v>913</v>
      </c>
      <c r="C342" s="6" t="s">
        <v>914</v>
      </c>
      <c r="D342" s="7" t="s">
        <v>7</v>
      </c>
    </row>
    <row r="343" spans="1:10" x14ac:dyDescent="0.25">
      <c r="A343" s="2" t="s">
        <v>915</v>
      </c>
      <c r="B343" s="3" t="s">
        <v>916</v>
      </c>
      <c r="C343" s="3" t="s">
        <v>917</v>
      </c>
      <c r="D343" s="4" t="s">
        <v>918</v>
      </c>
    </row>
    <row r="344" spans="1:10" x14ac:dyDescent="0.25">
      <c r="A344" s="5" t="s">
        <v>919</v>
      </c>
      <c r="B344" s="6" t="s">
        <v>916</v>
      </c>
      <c r="C344" s="6" t="s">
        <v>920</v>
      </c>
      <c r="D344" s="7" t="s">
        <v>918</v>
      </c>
    </row>
    <row r="345" spans="1:10" x14ac:dyDescent="0.25">
      <c r="A345" s="2" t="s">
        <v>921</v>
      </c>
      <c r="B345" s="3" t="s">
        <v>916</v>
      </c>
      <c r="C345" s="3" t="s">
        <v>922</v>
      </c>
      <c r="D345" s="4" t="s">
        <v>918</v>
      </c>
    </row>
    <row r="346" spans="1:10" x14ac:dyDescent="0.25">
      <c r="A346" s="5" t="s">
        <v>923</v>
      </c>
      <c r="B346" s="6" t="s">
        <v>916</v>
      </c>
      <c r="C346" s="6" t="s">
        <v>924</v>
      </c>
      <c r="D346" s="7" t="s">
        <v>918</v>
      </c>
    </row>
    <row r="347" spans="1:10" x14ac:dyDescent="0.25">
      <c r="A347" s="2" t="s">
        <v>925</v>
      </c>
      <c r="B347" s="3" t="s">
        <v>916</v>
      </c>
      <c r="C347" s="3" t="s">
        <v>926</v>
      </c>
      <c r="D347" s="4" t="s">
        <v>918</v>
      </c>
    </row>
    <row r="348" spans="1:10" x14ac:dyDescent="0.25">
      <c r="A348" s="5" t="s">
        <v>927</v>
      </c>
      <c r="B348" s="6" t="s">
        <v>916</v>
      </c>
      <c r="C348" s="6" t="s">
        <v>928</v>
      </c>
      <c r="D348" s="7" t="s">
        <v>918</v>
      </c>
    </row>
    <row r="349" spans="1:10" x14ac:dyDescent="0.25">
      <c r="A349" s="2" t="s">
        <v>929</v>
      </c>
      <c r="B349" s="3" t="s">
        <v>916</v>
      </c>
      <c r="C349" s="3" t="s">
        <v>930</v>
      </c>
      <c r="D349" s="4" t="s">
        <v>918</v>
      </c>
    </row>
    <row r="350" spans="1:10" x14ac:dyDescent="0.25">
      <c r="A350" s="5" t="s">
        <v>931</v>
      </c>
      <c r="B350" s="6" t="s">
        <v>916</v>
      </c>
      <c r="C350" s="6" t="s">
        <v>932</v>
      </c>
      <c r="D350" s="7" t="s">
        <v>918</v>
      </c>
    </row>
    <row r="351" spans="1:10" x14ac:dyDescent="0.25">
      <c r="A351" s="2" t="s">
        <v>933</v>
      </c>
      <c r="B351" s="3" t="s">
        <v>916</v>
      </c>
      <c r="C351" s="3" t="s">
        <v>934</v>
      </c>
      <c r="D351" s="4" t="s">
        <v>918</v>
      </c>
    </row>
    <row r="352" spans="1:10" x14ac:dyDescent="0.25">
      <c r="A352" s="5" t="s">
        <v>935</v>
      </c>
      <c r="B352" s="6" t="s">
        <v>916</v>
      </c>
      <c r="C352" s="6" t="s">
        <v>936</v>
      </c>
      <c r="D352" s="7" t="s">
        <v>918</v>
      </c>
    </row>
    <row r="353" spans="1:4" x14ac:dyDescent="0.25">
      <c r="A353" s="2" t="s">
        <v>937</v>
      </c>
      <c r="B353" s="3" t="s">
        <v>916</v>
      </c>
      <c r="C353" s="3" t="s">
        <v>938</v>
      </c>
      <c r="D353" s="4" t="s">
        <v>918</v>
      </c>
    </row>
    <row r="354" spans="1:4" x14ac:dyDescent="0.25">
      <c r="A354" s="5" t="s">
        <v>939</v>
      </c>
      <c r="B354" s="6" t="s">
        <v>916</v>
      </c>
      <c r="C354" s="6" t="s">
        <v>940</v>
      </c>
      <c r="D354" s="7" t="s">
        <v>918</v>
      </c>
    </row>
    <row r="355" spans="1:4" x14ac:dyDescent="0.25">
      <c r="A355" s="2" t="s">
        <v>941</v>
      </c>
      <c r="B355" s="3" t="s">
        <v>916</v>
      </c>
      <c r="C355" s="3" t="s">
        <v>942</v>
      </c>
      <c r="D355" s="4" t="s">
        <v>918</v>
      </c>
    </row>
    <row r="356" spans="1:4" x14ac:dyDescent="0.25">
      <c r="A356" s="5" t="s">
        <v>943</v>
      </c>
      <c r="B356" s="6" t="s">
        <v>916</v>
      </c>
      <c r="C356" s="6" t="s">
        <v>944</v>
      </c>
      <c r="D356" s="7" t="s">
        <v>918</v>
      </c>
    </row>
    <row r="357" spans="1:4" x14ac:dyDescent="0.25">
      <c r="A357" s="2" t="s">
        <v>945</v>
      </c>
      <c r="B357" s="3" t="s">
        <v>916</v>
      </c>
      <c r="C357" s="3" t="s">
        <v>944</v>
      </c>
      <c r="D357" s="4" t="s">
        <v>918</v>
      </c>
    </row>
    <row r="358" spans="1:4" x14ac:dyDescent="0.25">
      <c r="A358" s="5" t="s">
        <v>946</v>
      </c>
      <c r="B358" s="6" t="s">
        <v>916</v>
      </c>
      <c r="C358" s="6" t="s">
        <v>944</v>
      </c>
      <c r="D358" s="7" t="s">
        <v>918</v>
      </c>
    </row>
    <row r="359" spans="1:4" x14ac:dyDescent="0.25">
      <c r="A359" s="2" t="s">
        <v>947</v>
      </c>
      <c r="B359" s="3" t="s">
        <v>916</v>
      </c>
      <c r="C359" s="3" t="s">
        <v>944</v>
      </c>
      <c r="D359" s="4" t="s">
        <v>918</v>
      </c>
    </row>
    <row r="360" spans="1:4" x14ac:dyDescent="0.25">
      <c r="A360" s="5" t="s">
        <v>948</v>
      </c>
      <c r="B360" s="6" t="s">
        <v>916</v>
      </c>
      <c r="C360" s="6" t="s">
        <v>949</v>
      </c>
      <c r="D360" s="7" t="s">
        <v>918</v>
      </c>
    </row>
    <row r="361" spans="1:4" x14ac:dyDescent="0.25">
      <c r="A361" s="2" t="s">
        <v>950</v>
      </c>
      <c r="B361" s="3" t="s">
        <v>916</v>
      </c>
      <c r="C361" s="3" t="s">
        <v>949</v>
      </c>
      <c r="D361" s="4" t="s">
        <v>918</v>
      </c>
    </row>
    <row r="362" spans="1:4" x14ac:dyDescent="0.25">
      <c r="A362" s="5" t="s">
        <v>951</v>
      </c>
      <c r="B362" s="6" t="s">
        <v>916</v>
      </c>
      <c r="C362" s="6" t="s">
        <v>949</v>
      </c>
      <c r="D362" s="7" t="s">
        <v>918</v>
      </c>
    </row>
    <row r="363" spans="1:4" x14ac:dyDescent="0.25">
      <c r="A363" s="2" t="s">
        <v>952</v>
      </c>
      <c r="B363" s="3" t="s">
        <v>916</v>
      </c>
      <c r="C363" s="3" t="s">
        <v>949</v>
      </c>
      <c r="D363" s="4" t="s">
        <v>918</v>
      </c>
    </row>
    <row r="364" spans="1:4" x14ac:dyDescent="0.25">
      <c r="A364" s="5" t="s">
        <v>953</v>
      </c>
      <c r="B364" s="6" t="s">
        <v>916</v>
      </c>
      <c r="C364" s="6" t="s">
        <v>949</v>
      </c>
      <c r="D364" s="7" t="s">
        <v>918</v>
      </c>
    </row>
    <row r="365" spans="1:4" x14ac:dyDescent="0.25">
      <c r="A365" s="2" t="s">
        <v>954</v>
      </c>
      <c r="B365" s="3" t="s">
        <v>916</v>
      </c>
      <c r="C365" s="3" t="s">
        <v>949</v>
      </c>
      <c r="D365" s="4" t="s">
        <v>918</v>
      </c>
    </row>
    <row r="366" spans="1:4" x14ac:dyDescent="0.25">
      <c r="A366" s="5" t="s">
        <v>955</v>
      </c>
      <c r="B366" s="6" t="s">
        <v>916</v>
      </c>
      <c r="C366" s="6" t="s">
        <v>949</v>
      </c>
      <c r="D366" s="7" t="s">
        <v>918</v>
      </c>
    </row>
    <row r="367" spans="1:4" x14ac:dyDescent="0.25">
      <c r="A367" s="2" t="s">
        <v>956</v>
      </c>
      <c r="B367" s="3" t="s">
        <v>916</v>
      </c>
      <c r="C367" s="3" t="s">
        <v>957</v>
      </c>
      <c r="D367" s="4" t="s">
        <v>918</v>
      </c>
    </row>
    <row r="368" spans="1:4" x14ac:dyDescent="0.25">
      <c r="A368" s="5" t="s">
        <v>958</v>
      </c>
      <c r="B368" s="6" t="s">
        <v>916</v>
      </c>
      <c r="C368" s="6" t="s">
        <v>959</v>
      </c>
      <c r="D368" s="7" t="s">
        <v>918</v>
      </c>
    </row>
    <row r="369" spans="1:4" x14ac:dyDescent="0.25">
      <c r="A369" s="2" t="s">
        <v>960</v>
      </c>
      <c r="B369" s="3" t="s">
        <v>961</v>
      </c>
      <c r="C369" s="3" t="s">
        <v>962</v>
      </c>
      <c r="D369" s="4" t="s">
        <v>7</v>
      </c>
    </row>
    <row r="370" spans="1:4" x14ac:dyDescent="0.25">
      <c r="A370" s="5" t="s">
        <v>963</v>
      </c>
      <c r="B370" s="6" t="s">
        <v>964</v>
      </c>
      <c r="C370" s="6" t="s">
        <v>965</v>
      </c>
      <c r="D370" s="7" t="s">
        <v>7</v>
      </c>
    </row>
    <row r="371" spans="1:4" x14ac:dyDescent="0.25">
      <c r="A371" s="2" t="s">
        <v>966</v>
      </c>
      <c r="B371" s="3" t="s">
        <v>967</v>
      </c>
      <c r="C371" s="3" t="s">
        <v>968</v>
      </c>
      <c r="D371" s="4" t="s">
        <v>7</v>
      </c>
    </row>
    <row r="372" spans="1:4" x14ac:dyDescent="0.25">
      <c r="A372" s="5" t="s">
        <v>969</v>
      </c>
      <c r="B372" s="6" t="s">
        <v>970</v>
      </c>
      <c r="C372" s="6" t="s">
        <v>971</v>
      </c>
      <c r="D372" s="7" t="s">
        <v>7</v>
      </c>
    </row>
    <row r="373" spans="1:4" x14ac:dyDescent="0.25">
      <c r="A373" s="2" t="s">
        <v>972</v>
      </c>
      <c r="B373" s="3" t="s">
        <v>973</v>
      </c>
      <c r="C373" s="3" t="s">
        <v>974</v>
      </c>
      <c r="D373" s="4" t="s">
        <v>7</v>
      </c>
    </row>
    <row r="374" spans="1:4" x14ac:dyDescent="0.25">
      <c r="A374" s="5" t="s">
        <v>975</v>
      </c>
      <c r="B374" s="6" t="s">
        <v>976</v>
      </c>
      <c r="C374" s="6" t="s">
        <v>977</v>
      </c>
      <c r="D374" s="7" t="s">
        <v>7</v>
      </c>
    </row>
    <row r="375" spans="1:4" x14ac:dyDescent="0.25">
      <c r="A375" s="2" t="s">
        <v>978</v>
      </c>
      <c r="B375" s="3" t="s">
        <v>979</v>
      </c>
      <c r="C375" s="3" t="s">
        <v>980</v>
      </c>
      <c r="D375" s="4" t="s">
        <v>7</v>
      </c>
    </row>
    <row r="376" spans="1:4" x14ac:dyDescent="0.25">
      <c r="A376" s="5" t="s">
        <v>981</v>
      </c>
      <c r="B376" s="6" t="s">
        <v>982</v>
      </c>
      <c r="C376" s="6" t="s">
        <v>982</v>
      </c>
      <c r="D376" s="7" t="s">
        <v>22</v>
      </c>
    </row>
    <row r="377" spans="1:4" x14ac:dyDescent="0.25">
      <c r="A377" s="2" t="s">
        <v>983</v>
      </c>
      <c r="B377" s="3" t="s">
        <v>984</v>
      </c>
      <c r="C377" s="3" t="s">
        <v>982</v>
      </c>
      <c r="D377" s="4" t="s">
        <v>7</v>
      </c>
    </row>
    <row r="378" spans="1:4" x14ac:dyDescent="0.25">
      <c r="A378" s="5" t="s">
        <v>985</v>
      </c>
      <c r="B378" s="6" t="s">
        <v>986</v>
      </c>
      <c r="C378" s="6" t="s">
        <v>987</v>
      </c>
      <c r="D378" s="7" t="s">
        <v>7</v>
      </c>
    </row>
    <row r="379" spans="1:4" x14ac:dyDescent="0.25">
      <c r="A379" s="2" t="s">
        <v>988</v>
      </c>
      <c r="B379" s="3" t="s">
        <v>989</v>
      </c>
      <c r="C379" s="3" t="s">
        <v>990</v>
      </c>
      <c r="D379" s="4" t="s">
        <v>7</v>
      </c>
    </row>
    <row r="380" spans="1:4" x14ac:dyDescent="0.25">
      <c r="A380" s="5" t="s">
        <v>991</v>
      </c>
      <c r="B380" s="6" t="s">
        <v>992</v>
      </c>
      <c r="C380" s="6" t="s">
        <v>993</v>
      </c>
      <c r="D380" s="7" t="s">
        <v>7</v>
      </c>
    </row>
    <row r="381" spans="1:4" x14ac:dyDescent="0.25">
      <c r="A381" s="2" t="s">
        <v>994</v>
      </c>
      <c r="B381" s="3" t="s">
        <v>995</v>
      </c>
      <c r="C381" s="3" t="s">
        <v>996</v>
      </c>
      <c r="D381" s="4" t="s">
        <v>7</v>
      </c>
    </row>
    <row r="382" spans="1:4" x14ac:dyDescent="0.25">
      <c r="A382" s="5" t="s">
        <v>997</v>
      </c>
      <c r="B382" s="6" t="s">
        <v>998</v>
      </c>
      <c r="C382" s="6" t="s">
        <v>999</v>
      </c>
      <c r="D382" s="7" t="s">
        <v>7</v>
      </c>
    </row>
    <row r="383" spans="1:4" x14ac:dyDescent="0.25">
      <c r="A383" s="2" t="s">
        <v>1000</v>
      </c>
      <c r="B383" s="3" t="s">
        <v>1001</v>
      </c>
      <c r="C383" s="3" t="s">
        <v>1002</v>
      </c>
      <c r="D383" s="4" t="s">
        <v>7</v>
      </c>
    </row>
    <row r="384" spans="1:4" x14ac:dyDescent="0.25">
      <c r="A384" s="5" t="s">
        <v>1003</v>
      </c>
      <c r="B384" s="6" t="s">
        <v>1004</v>
      </c>
      <c r="C384" s="6" t="s">
        <v>1004</v>
      </c>
      <c r="D384" s="7" t="s">
        <v>22</v>
      </c>
    </row>
    <row r="385" spans="1:4" x14ac:dyDescent="0.25">
      <c r="A385" s="2" t="s">
        <v>1005</v>
      </c>
      <c r="B385" s="3" t="s">
        <v>1006</v>
      </c>
      <c r="C385" s="3" t="s">
        <v>1004</v>
      </c>
      <c r="D385" s="4" t="s">
        <v>7</v>
      </c>
    </row>
    <row r="386" spans="1:4" x14ac:dyDescent="0.25">
      <c r="A386" s="5" t="s">
        <v>1007</v>
      </c>
      <c r="B386" s="6" t="s">
        <v>1008</v>
      </c>
      <c r="C386" s="6" t="s">
        <v>1009</v>
      </c>
      <c r="D386" s="7" t="s">
        <v>7</v>
      </c>
    </row>
    <row r="387" spans="1:4" x14ac:dyDescent="0.25">
      <c r="A387" s="2" t="s">
        <v>1010</v>
      </c>
      <c r="B387" s="3" t="s">
        <v>1011</v>
      </c>
      <c r="C387" s="3" t="s">
        <v>1012</v>
      </c>
      <c r="D387" s="4" t="s">
        <v>7</v>
      </c>
    </row>
    <row r="388" spans="1:4" x14ac:dyDescent="0.25">
      <c r="A388" s="5" t="s">
        <v>1013</v>
      </c>
      <c r="B388" s="6" t="s">
        <v>1014</v>
      </c>
      <c r="C388" s="6" t="s">
        <v>1015</v>
      </c>
      <c r="D388" s="7" t="s">
        <v>7</v>
      </c>
    </row>
    <row r="389" spans="1:4" x14ac:dyDescent="0.25">
      <c r="A389" s="2" t="s">
        <v>1016</v>
      </c>
      <c r="B389" s="3" t="s">
        <v>1017</v>
      </c>
      <c r="C389" s="3" t="s">
        <v>1018</v>
      </c>
      <c r="D389" s="4" t="s">
        <v>7</v>
      </c>
    </row>
    <row r="390" spans="1:4" x14ac:dyDescent="0.25">
      <c r="A390" s="5" t="s">
        <v>1019</v>
      </c>
      <c r="B390" s="6" t="s">
        <v>1020</v>
      </c>
      <c r="C390" s="6" t="s">
        <v>1021</v>
      </c>
      <c r="D390" s="7" t="s">
        <v>7</v>
      </c>
    </row>
    <row r="391" spans="1:4" x14ac:dyDescent="0.25">
      <c r="A391" s="2" t="s">
        <v>1022</v>
      </c>
      <c r="B391" s="3" t="s">
        <v>1023</v>
      </c>
      <c r="C391" s="3" t="s">
        <v>1023</v>
      </c>
      <c r="D391" s="4" t="s">
        <v>22</v>
      </c>
    </row>
    <row r="392" spans="1:4" x14ac:dyDescent="0.25">
      <c r="A392" s="5" t="s">
        <v>1024</v>
      </c>
      <c r="B392" s="6" t="s">
        <v>1025</v>
      </c>
      <c r="C392" s="6" t="s">
        <v>1026</v>
      </c>
      <c r="D392" s="7" t="s">
        <v>7</v>
      </c>
    </row>
    <row r="393" spans="1:4" x14ac:dyDescent="0.25">
      <c r="A393" s="2" t="s">
        <v>1027</v>
      </c>
      <c r="B393" s="3" t="s">
        <v>1028</v>
      </c>
      <c r="C393" s="3" t="s">
        <v>1029</v>
      </c>
      <c r="D393" s="4" t="s">
        <v>7</v>
      </c>
    </row>
    <row r="394" spans="1:4" x14ac:dyDescent="0.25">
      <c r="A394" s="5" t="s">
        <v>1030</v>
      </c>
      <c r="B394" s="6" t="s">
        <v>1031</v>
      </c>
      <c r="C394" s="6" t="s">
        <v>1032</v>
      </c>
      <c r="D394" s="7" t="s">
        <v>7</v>
      </c>
    </row>
    <row r="395" spans="1:4" x14ac:dyDescent="0.25">
      <c r="A395" s="2" t="s">
        <v>1033</v>
      </c>
      <c r="B395" s="3" t="s">
        <v>1032</v>
      </c>
      <c r="C395" s="3" t="s">
        <v>1032</v>
      </c>
      <c r="D395" s="4" t="s">
        <v>22</v>
      </c>
    </row>
    <row r="396" spans="1:4" x14ac:dyDescent="0.25">
      <c r="A396" s="5" t="s">
        <v>1034</v>
      </c>
      <c r="B396" s="6" t="s">
        <v>1035</v>
      </c>
      <c r="C396" s="6" t="s">
        <v>1036</v>
      </c>
      <c r="D396" s="7" t="s">
        <v>7</v>
      </c>
    </row>
    <row r="397" spans="1:4" x14ac:dyDescent="0.25">
      <c r="A397" s="2" t="s">
        <v>1037</v>
      </c>
      <c r="B397" s="3" t="s">
        <v>1038</v>
      </c>
      <c r="C397" s="3" t="s">
        <v>1039</v>
      </c>
      <c r="D397" s="4" t="s">
        <v>7</v>
      </c>
    </row>
    <row r="398" spans="1:4" x14ac:dyDescent="0.25">
      <c r="A398" s="5" t="s">
        <v>1040</v>
      </c>
      <c r="B398" s="6" t="s">
        <v>1041</v>
      </c>
      <c r="C398" s="6" t="s">
        <v>1042</v>
      </c>
      <c r="D398" s="7" t="s">
        <v>7</v>
      </c>
    </row>
    <row r="399" spans="1:4" x14ac:dyDescent="0.25">
      <c r="A399" s="2" t="s">
        <v>1043</v>
      </c>
      <c r="B399" s="3" t="s">
        <v>1044</v>
      </c>
      <c r="C399" s="3" t="s">
        <v>1045</v>
      </c>
      <c r="D399" s="4" t="s">
        <v>7</v>
      </c>
    </row>
    <row r="400" spans="1:4" x14ac:dyDescent="0.25">
      <c r="A400" s="5" t="s">
        <v>1046</v>
      </c>
      <c r="B400" s="6" t="s">
        <v>1047</v>
      </c>
      <c r="C400" s="6" t="s">
        <v>1048</v>
      </c>
      <c r="D400" s="7" t="s">
        <v>7</v>
      </c>
    </row>
    <row r="401" spans="1:4" x14ac:dyDescent="0.25">
      <c r="A401" s="2" t="s">
        <v>1049</v>
      </c>
      <c r="B401" s="3" t="s">
        <v>1050</v>
      </c>
      <c r="C401" s="3" t="s">
        <v>1050</v>
      </c>
      <c r="D401" s="4" t="s">
        <v>22</v>
      </c>
    </row>
    <row r="402" spans="1:4" x14ac:dyDescent="0.25">
      <c r="A402" s="5" t="s">
        <v>1051</v>
      </c>
      <c r="B402" s="6" t="s">
        <v>1052</v>
      </c>
      <c r="C402" s="6" t="s">
        <v>1050</v>
      </c>
      <c r="D402" s="7" t="s">
        <v>7</v>
      </c>
    </row>
    <row r="403" spans="1:4" x14ac:dyDescent="0.25">
      <c r="A403" s="2" t="s">
        <v>1053</v>
      </c>
      <c r="B403" s="3" t="s">
        <v>1054</v>
      </c>
      <c r="C403" s="3" t="s">
        <v>1055</v>
      </c>
      <c r="D403" s="4" t="s">
        <v>7</v>
      </c>
    </row>
    <row r="404" spans="1:4" x14ac:dyDescent="0.25">
      <c r="A404" s="5" t="s">
        <v>1056</v>
      </c>
      <c r="B404" s="6" t="s">
        <v>1057</v>
      </c>
      <c r="C404" s="6" t="s">
        <v>1058</v>
      </c>
      <c r="D404" s="7" t="s">
        <v>7</v>
      </c>
    </row>
    <row r="405" spans="1:4" x14ac:dyDescent="0.25">
      <c r="A405" s="2" t="s">
        <v>1059</v>
      </c>
      <c r="B405" s="3" t="s">
        <v>1060</v>
      </c>
      <c r="C405" s="3" t="s">
        <v>1061</v>
      </c>
      <c r="D405" s="4" t="s">
        <v>7</v>
      </c>
    </row>
    <row r="406" spans="1:4" x14ac:dyDescent="0.25">
      <c r="A406" s="5" t="s">
        <v>1062</v>
      </c>
      <c r="B406" s="6" t="s">
        <v>1063</v>
      </c>
      <c r="C406" s="6" t="s">
        <v>1063</v>
      </c>
      <c r="D406" s="7" t="s">
        <v>22</v>
      </c>
    </row>
    <row r="407" spans="1:4" x14ac:dyDescent="0.25">
      <c r="A407" s="2" t="s">
        <v>1064</v>
      </c>
      <c r="B407" s="3" t="s">
        <v>1065</v>
      </c>
      <c r="C407" s="3" t="s">
        <v>1066</v>
      </c>
      <c r="D407" s="4" t="s">
        <v>7</v>
      </c>
    </row>
    <row r="408" spans="1:4" x14ac:dyDescent="0.25">
      <c r="A408" s="5" t="s">
        <v>1067</v>
      </c>
      <c r="B408" s="6" t="s">
        <v>1068</v>
      </c>
      <c r="C408" s="6" t="s">
        <v>1069</v>
      </c>
      <c r="D408" s="7" t="s">
        <v>7</v>
      </c>
    </row>
    <row r="409" spans="1:4" x14ac:dyDescent="0.25">
      <c r="A409" s="2" t="s">
        <v>1070</v>
      </c>
      <c r="B409" s="3" t="s">
        <v>1071</v>
      </c>
      <c r="C409" s="3" t="s">
        <v>1072</v>
      </c>
      <c r="D409" s="4" t="s">
        <v>7</v>
      </c>
    </row>
    <row r="410" spans="1:4" x14ac:dyDescent="0.25">
      <c r="A410" s="5" t="s">
        <v>1073</v>
      </c>
      <c r="B410" s="6" t="s">
        <v>1074</v>
      </c>
      <c r="C410" s="6" t="s">
        <v>1075</v>
      </c>
      <c r="D410" s="7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E9F825-92F5-4014-A4DE-00C2FA0EF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e</vt:lpstr>
      <vt:lpstr>d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2025-12-03T16:22:33Z</dcterms:modified>
</cp:coreProperties>
</file>